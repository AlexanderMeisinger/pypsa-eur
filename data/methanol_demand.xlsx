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39219\Downloads\"/>
    </mc:Choice>
  </mc:AlternateContent>
  <xr:revisionPtr revIDLastSave="0" documentId="13_ncr:1_{C8833523-BD4F-4947-BE2E-FA99D04CE55C}" xr6:coauthVersionLast="36" xr6:coauthVersionMax="36" xr10:uidLastSave="{00000000-0000-0000-0000-000000000000}"/>
  <bookViews>
    <workbookView xWindow="0" yWindow="0" windowWidth="19200" windowHeight="8010" activeTab="2" xr2:uid="{00000000-000D-0000-FFFF-FFFF00000000}"/>
  </bookViews>
  <sheets>
    <sheet name="Summary" sheetId="1" r:id="rId1"/>
    <sheet name="Approach" sheetId="7" r:id="rId2"/>
    <sheet name="Demand" sheetId="6" r:id="rId3"/>
    <sheet name="Production" sheetId="2" r:id="rId4"/>
    <sheet name="Export" sheetId="4" r:id="rId5"/>
    <sheet name="Import" sheetId="5" r:id="rId6"/>
    <sheet name="Unit" sheetId="3" r:id="rId7"/>
  </sheets>
  <calcPr calcId="191029"/>
</workbook>
</file>

<file path=xl/calcChain.xml><?xml version="1.0" encoding="utf-8"?>
<calcChain xmlns="http://schemas.openxmlformats.org/spreadsheetml/2006/main">
  <c r="C8" i="6" l="1"/>
  <c r="D8" i="6"/>
  <c r="E8" i="6"/>
  <c r="F8" i="6"/>
  <c r="G8" i="6"/>
  <c r="H8" i="6"/>
  <c r="I8" i="6"/>
  <c r="J8" i="6"/>
  <c r="K8" i="6"/>
  <c r="L8" i="6"/>
  <c r="C9" i="6"/>
  <c r="D9" i="6"/>
  <c r="E9" i="6"/>
  <c r="F9" i="6"/>
  <c r="G9" i="6"/>
  <c r="H9" i="6"/>
  <c r="I9" i="6"/>
  <c r="J9" i="6"/>
  <c r="K9" i="6"/>
  <c r="L9" i="6"/>
  <c r="C10" i="6"/>
  <c r="D10" i="6"/>
  <c r="E10" i="6"/>
  <c r="F10" i="6"/>
  <c r="G10" i="6"/>
  <c r="H10" i="6"/>
  <c r="I10" i="6"/>
  <c r="J10" i="6"/>
  <c r="K10" i="6"/>
  <c r="L10" i="6"/>
  <c r="C11" i="6"/>
  <c r="D11" i="6"/>
  <c r="E11" i="6"/>
  <c r="F11" i="6"/>
  <c r="G11" i="6"/>
  <c r="H11" i="6"/>
  <c r="I11" i="6"/>
  <c r="J11" i="6"/>
  <c r="K11" i="6"/>
  <c r="L11" i="6"/>
  <c r="C12" i="6"/>
  <c r="D12" i="6"/>
  <c r="E12" i="6"/>
  <c r="F12" i="6"/>
  <c r="G12" i="6"/>
  <c r="H12" i="6"/>
  <c r="I12" i="6"/>
  <c r="J12" i="6"/>
  <c r="K12" i="6"/>
  <c r="L12" i="6"/>
  <c r="C13" i="6"/>
  <c r="D13" i="6"/>
  <c r="E13" i="6"/>
  <c r="F13" i="6"/>
  <c r="G13" i="6"/>
  <c r="H13" i="6"/>
  <c r="I13" i="6"/>
  <c r="J13" i="6"/>
  <c r="K13" i="6"/>
  <c r="L13" i="6"/>
  <c r="C14" i="6"/>
  <c r="D14" i="6"/>
  <c r="E14" i="6"/>
  <c r="F14" i="6"/>
  <c r="G14" i="6"/>
  <c r="H14" i="6"/>
  <c r="I14" i="6"/>
  <c r="J14" i="6"/>
  <c r="K14" i="6"/>
  <c r="L14" i="6"/>
  <c r="C15" i="6"/>
  <c r="D15" i="6"/>
  <c r="E15" i="6"/>
  <c r="F15" i="6"/>
  <c r="G15" i="6"/>
  <c r="H15" i="6"/>
  <c r="I15" i="6"/>
  <c r="J15" i="6"/>
  <c r="K15" i="6"/>
  <c r="L15" i="6"/>
  <c r="C16" i="6"/>
  <c r="D16" i="6"/>
  <c r="E16" i="6"/>
  <c r="F16" i="6"/>
  <c r="G16" i="6"/>
  <c r="H16" i="6"/>
  <c r="I16" i="6"/>
  <c r="J16" i="6"/>
  <c r="K16" i="6"/>
  <c r="L16" i="6"/>
  <c r="C17" i="6"/>
  <c r="D17" i="6"/>
  <c r="E17" i="6"/>
  <c r="F17" i="6"/>
  <c r="G17" i="6"/>
  <c r="H17" i="6"/>
  <c r="I17" i="6"/>
  <c r="J17" i="6"/>
  <c r="K17" i="6"/>
  <c r="L17" i="6"/>
  <c r="C18" i="6"/>
  <c r="D18" i="6"/>
  <c r="E18" i="6"/>
  <c r="F18" i="6"/>
  <c r="G18" i="6"/>
  <c r="H18" i="6"/>
  <c r="I18" i="6"/>
  <c r="J18" i="6"/>
  <c r="K18" i="6"/>
  <c r="L18" i="6"/>
  <c r="C19" i="6"/>
  <c r="D19" i="6"/>
  <c r="E19" i="6"/>
  <c r="F19" i="6"/>
  <c r="G19" i="6"/>
  <c r="H19" i="6"/>
  <c r="I19" i="6"/>
  <c r="J19" i="6"/>
  <c r="K19" i="6"/>
  <c r="L19" i="6"/>
  <c r="C20" i="6"/>
  <c r="D20" i="6"/>
  <c r="E20" i="6"/>
  <c r="F20" i="6"/>
  <c r="G20" i="6"/>
  <c r="H20" i="6"/>
  <c r="I20" i="6"/>
  <c r="J20" i="6"/>
  <c r="K20" i="6"/>
  <c r="L20" i="6"/>
  <c r="C21" i="6"/>
  <c r="D21" i="6"/>
  <c r="E21" i="6"/>
  <c r="F21" i="6"/>
  <c r="G21" i="6"/>
  <c r="H21" i="6"/>
  <c r="I21" i="6"/>
  <c r="J21" i="6"/>
  <c r="K21" i="6"/>
  <c r="L21" i="6"/>
  <c r="C22" i="6"/>
  <c r="D22" i="6"/>
  <c r="E22" i="6"/>
  <c r="F22" i="6"/>
  <c r="G22" i="6"/>
  <c r="H22" i="6"/>
  <c r="I22" i="6"/>
  <c r="J22" i="6"/>
  <c r="K22" i="6"/>
  <c r="L22" i="6"/>
  <c r="C23" i="6"/>
  <c r="D23" i="6"/>
  <c r="E23" i="6"/>
  <c r="F23" i="6"/>
  <c r="G23" i="6"/>
  <c r="H23" i="6"/>
  <c r="I23" i="6"/>
  <c r="J23" i="6"/>
  <c r="K23" i="6"/>
  <c r="L23" i="6"/>
  <c r="C24" i="6"/>
  <c r="D24" i="6"/>
  <c r="E24" i="6"/>
  <c r="F24" i="6"/>
  <c r="G24" i="6"/>
  <c r="H24" i="6"/>
  <c r="I24" i="6"/>
  <c r="J24" i="6"/>
  <c r="K24" i="6"/>
  <c r="L24" i="6"/>
  <c r="C25" i="6"/>
  <c r="D25" i="6"/>
  <c r="E25" i="6"/>
  <c r="F25" i="6"/>
  <c r="G25" i="6"/>
  <c r="H25" i="6"/>
  <c r="I25" i="6"/>
  <c r="J25" i="6"/>
  <c r="K25" i="6"/>
  <c r="L25" i="6"/>
  <c r="C26" i="6"/>
  <c r="D26" i="6"/>
  <c r="E26" i="6"/>
  <c r="F26" i="6"/>
  <c r="G26" i="6"/>
  <c r="H26" i="6"/>
  <c r="I26" i="6"/>
  <c r="J26" i="6"/>
  <c r="K26" i="6"/>
  <c r="L26" i="6"/>
  <c r="C27" i="6"/>
  <c r="D27" i="6"/>
  <c r="E27" i="6"/>
  <c r="F27" i="6"/>
  <c r="G27" i="6"/>
  <c r="H27" i="6"/>
  <c r="I27" i="6"/>
  <c r="J27" i="6"/>
  <c r="K27" i="6"/>
  <c r="L27" i="6"/>
  <c r="C28" i="6"/>
  <c r="D28" i="6"/>
  <c r="E28" i="6"/>
  <c r="F28" i="6"/>
  <c r="G28" i="6"/>
  <c r="H28" i="6"/>
  <c r="I28" i="6"/>
  <c r="J28" i="6"/>
  <c r="K28" i="6"/>
  <c r="L28" i="6"/>
  <c r="C29" i="6"/>
  <c r="D29" i="6"/>
  <c r="E29" i="6"/>
  <c r="F29" i="6"/>
  <c r="G29" i="6"/>
  <c r="H29" i="6"/>
  <c r="I29" i="6"/>
  <c r="J29" i="6"/>
  <c r="K29" i="6"/>
  <c r="L29" i="6"/>
  <c r="C30" i="6"/>
  <c r="D30" i="6"/>
  <c r="E30" i="6"/>
  <c r="F30" i="6"/>
  <c r="G30" i="6"/>
  <c r="H30" i="6"/>
  <c r="I30" i="6"/>
  <c r="J30" i="6"/>
  <c r="K30" i="6"/>
  <c r="L30" i="6"/>
  <c r="C31" i="6"/>
  <c r="D31" i="6"/>
  <c r="E31" i="6"/>
  <c r="F31" i="6"/>
  <c r="G31" i="6"/>
  <c r="H31" i="6"/>
  <c r="I31" i="6"/>
  <c r="J31" i="6"/>
  <c r="K31" i="6"/>
  <c r="L31" i="6"/>
  <c r="C32" i="6"/>
  <c r="D32" i="6"/>
  <c r="E32" i="6"/>
  <c r="F32" i="6"/>
  <c r="G32" i="6"/>
  <c r="H32" i="6"/>
  <c r="I32" i="6"/>
  <c r="J32" i="6"/>
  <c r="K32" i="6"/>
  <c r="L32" i="6"/>
  <c r="C33" i="6"/>
  <c r="D33" i="6"/>
  <c r="E33" i="6"/>
  <c r="F33" i="6"/>
  <c r="G33" i="6"/>
  <c r="H33" i="6"/>
  <c r="I33" i="6"/>
  <c r="J33" i="6"/>
  <c r="K33" i="6"/>
  <c r="L33" i="6"/>
  <c r="C34" i="6"/>
  <c r="D34" i="6"/>
  <c r="E34" i="6"/>
  <c r="F34" i="6"/>
  <c r="G34" i="6"/>
  <c r="H34" i="6"/>
  <c r="I34" i="6"/>
  <c r="J34" i="6"/>
  <c r="K34" i="6"/>
  <c r="L34" i="6"/>
  <c r="C35" i="6"/>
  <c r="D35" i="6"/>
  <c r="E35" i="6"/>
  <c r="F35" i="6"/>
  <c r="G35" i="6"/>
  <c r="H35" i="6"/>
  <c r="I35" i="6"/>
  <c r="J35" i="6"/>
  <c r="K35" i="6"/>
  <c r="L35" i="6"/>
  <c r="C36" i="6"/>
  <c r="D36" i="6"/>
  <c r="E36" i="6"/>
  <c r="F36" i="6"/>
  <c r="G36" i="6"/>
  <c r="H36" i="6"/>
  <c r="I36" i="6"/>
  <c r="J36" i="6"/>
  <c r="K36" i="6"/>
  <c r="L36" i="6"/>
  <c r="C37" i="6"/>
  <c r="D37" i="6"/>
  <c r="E37" i="6"/>
  <c r="F37" i="6"/>
  <c r="G37" i="6"/>
  <c r="H37" i="6"/>
  <c r="I37" i="6"/>
  <c r="J37" i="6"/>
  <c r="K37" i="6"/>
  <c r="L37" i="6"/>
  <c r="C38" i="6"/>
  <c r="D38" i="6"/>
  <c r="E38" i="6"/>
  <c r="F38" i="6"/>
  <c r="G38" i="6"/>
  <c r="H38" i="6"/>
  <c r="I38" i="6"/>
  <c r="J38" i="6"/>
  <c r="K38" i="6"/>
  <c r="L38" i="6"/>
  <c r="C39" i="6"/>
  <c r="D39" i="6"/>
  <c r="E39" i="6"/>
  <c r="F39" i="6"/>
  <c r="G39" i="6"/>
  <c r="H39" i="6"/>
  <c r="I39" i="6"/>
  <c r="J39" i="6"/>
  <c r="K39" i="6"/>
  <c r="L3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9" i="6"/>
  <c r="B8" i="6"/>
</calcChain>
</file>

<file path=xl/sharedStrings.xml><?xml version="1.0" encoding="utf-8"?>
<sst xmlns="http://schemas.openxmlformats.org/spreadsheetml/2006/main" count="1076" uniqueCount="127">
  <si>
    <t>Total production [ds-059359__custom_19409157]</t>
  </si>
  <si>
    <t>Open product page</t>
  </si>
  <si>
    <t>Open in Data Browser</t>
  </si>
  <si>
    <t xml:space="preserve">Description: </t>
  </si>
  <si>
    <t>-</t>
  </si>
  <si>
    <t xml:space="preserve">Last update of data: </t>
  </si>
  <si>
    <t>27/11/2025 11:00</t>
  </si>
  <si>
    <t xml:space="preserve">Last change of data structure: </t>
  </si>
  <si>
    <t>Institutional source(s)</t>
  </si>
  <si>
    <t>Eurostat</t>
  </si>
  <si>
    <t>Contents</t>
  </si>
  <si>
    <t>PRODUCT [PRODUCT]</t>
  </si>
  <si>
    <t>INDICATORS</t>
  </si>
  <si>
    <t>Sheet 1</t>
  </si>
  <si>
    <t>Methanol (methyl alcohol) [20142210]</t>
  </si>
  <si>
    <t>Actual production quantity</t>
  </si>
  <si>
    <t>Sheet 2</t>
  </si>
  <si>
    <t>Quantity unit</t>
  </si>
  <si>
    <t>Data extracted on 20/12/2025 14:06:04 from [ESTAT]</t>
  </si>
  <si>
    <t xml:space="preserve">Dataset: </t>
  </si>
  <si>
    <t xml:space="preserve">Last updated: </t>
  </si>
  <si>
    <t>TIME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</si>
  <si>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</si>
  <si>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</si>
  <si>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</si>
  <si>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</si>
  <si>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</si>
  <si>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</si>
  <si>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</si>
  <si>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</si>
  <si>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</si>
  <si>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</si>
  <si>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</si>
  <si>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FREQ (Labels)</t>
  </si>
  <si>
    <t>Annual</t>
  </si>
  <si>
    <t>REPORTER (Labels)</t>
  </si>
  <si>
    <t/>
  </si>
  <si>
    <t>Albania</t>
  </si>
  <si>
    <t>:</t>
  </si>
  <si>
    <t>Austria</t>
  </si>
  <si>
    <t>Bosnia and Herzegovina</t>
  </si>
  <si>
    <t>Belgium (incl. Luxembourg 'LU' -&gt; 1998)</t>
  </si>
  <si>
    <t>Bulgaria</t>
  </si>
  <si>
    <t>Czechia</t>
  </si>
  <si>
    <t>Germany (incl. German Democratic Republic 'DD' from 1991)</t>
  </si>
  <si>
    <t>Denmark</t>
  </si>
  <si>
    <t>Estonia</t>
  </si>
  <si>
    <t>Spain (incl. Canary Islands 'XB' from 1997)</t>
  </si>
  <si>
    <t>Finland</t>
  </si>
  <si>
    <t>France (incl. Saint Barthélemy 'BL' -&gt; 2012; incl. French Guiana 'GF', Guadeloupe 'GP', Martinique 'MQ', Réunion 'RE' from 1997; incl. Mayotte 'YT' from 2014)</t>
  </si>
  <si>
    <t>United Kingdom</t>
  </si>
  <si>
    <t>Greece</t>
  </si>
  <si>
    <t>Croatia</t>
  </si>
  <si>
    <t>Hungary</t>
  </si>
  <si>
    <t>Ireland (Eire)</t>
  </si>
  <si>
    <t>Italy (incl. San Marino 'SM' -&gt; 1993)</t>
  </si>
  <si>
    <t>Lithuania</t>
  </si>
  <si>
    <t>Luxembourg</t>
  </si>
  <si>
    <t>Latvia</t>
  </si>
  <si>
    <t>Montenegro</t>
  </si>
  <si>
    <t>North Macedonia</t>
  </si>
  <si>
    <t>Malta</t>
  </si>
  <si>
    <t>Netherlands</t>
  </si>
  <si>
    <t>Norway (incl. Svalbard and Jan Mayen 'SJ' -&gt; 1994 and again from 1997)</t>
  </si>
  <si>
    <t>Poland</t>
  </si>
  <si>
    <t>Portugal</t>
  </si>
  <si>
    <t>Romania</t>
  </si>
  <si>
    <t>Sweden</t>
  </si>
  <si>
    <t>Slovenia</t>
  </si>
  <si>
    <t>Slovakia</t>
  </si>
  <si>
    <t>Serbia</t>
  </si>
  <si>
    <t>Special value</t>
  </si>
  <si>
    <t>not available</t>
  </si>
  <si>
    <t>KG</t>
  </si>
  <si>
    <t>Exports quantity</t>
  </si>
  <si>
    <t>Sheet 3</t>
  </si>
  <si>
    <t>Imports quantity</t>
  </si>
  <si>
    <t>Sheet 4</t>
  </si>
  <si>
    <t>Sheet 5</t>
  </si>
  <si>
    <t>Demand (own calculation)</t>
  </si>
  <si>
    <t>Data extracted on 20/12/2025 13:44:03 from [ESTAT]</t>
  </si>
  <si>
    <t>Sold production, exports and imports [ds-059358__custom_19409073]</t>
  </si>
  <si>
    <t>02/12/2025 11:00</t>
  </si>
  <si>
    <t>Demand (own calcullation)</t>
  </si>
  <si>
    <t>Approach:</t>
  </si>
  <si>
    <t>Customise your dataset:</t>
  </si>
  <si>
    <t>- Product: Methanol (methyl alcohol)</t>
  </si>
  <si>
    <t>- Reporter: Only consider countries which has been used for the modelling</t>
  </si>
  <si>
    <t>Source Total Production: https://ec.europa.eu/eurostat/databrowser/view/ds-059359__custom_19409157/default/table</t>
  </si>
  <si>
    <t>Source Import Export: https://ec.europa.eu/eurostat/databrowser/view/ds-059358__custom_19409204/default/table</t>
  </si>
  <si>
    <t>- Indicators Total Production: Actual production quantity, Quantity unit</t>
  </si>
  <si>
    <t>- Indicators Import Export: Imports quantity, Exports quantity, Quantity unit</t>
  </si>
  <si>
    <t>- Analyse Demand: Demand = Actual prodution quantity + Imports quantity - Exports quantity</t>
  </si>
  <si>
    <t>eurostat</t>
  </si>
  <si>
    <t xml:space="preserve">- Source methodology: </t>
  </si>
  <si>
    <t>AL</t>
  </si>
  <si>
    <t>AT</t>
  </si>
  <si>
    <t>BA</t>
  </si>
  <si>
    <t>BE</t>
  </si>
  <si>
    <t>BG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</si>
  <si>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</si>
  <si>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</si>
  <si>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</si>
  <si>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</si>
  <si>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</si>
  <si>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</si>
  <si>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</si>
  <si>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</si>
  <si>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</si>
  <si>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</si>
  <si>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</si>
  <si>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IE</t>
  </si>
  <si>
    <t>IT</t>
  </si>
  <si>
    <t>LT</t>
  </si>
  <si>
    <t>LU</t>
  </si>
  <si>
    <t>LV</t>
  </si>
  <si>
    <t>ME</t>
  </si>
  <si>
    <t>MK</t>
  </si>
  <si>
    <t>NL</t>
  </si>
  <si>
    <t>NO</t>
  </si>
  <si>
    <t>PL</t>
  </si>
  <si>
    <t>RO</t>
  </si>
  <si>
    <t>SE</t>
  </si>
  <si>
    <t>SI</t>
  </si>
  <si>
    <t>SK</t>
  </si>
  <si>
    <t>RS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</si>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</sst>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/>
    <xf numFmtId="0" fontId="0" fillId="0" borderId="0" xfId="0" quotePrefix="1"/>
    <xf numFmtId="0" fontId="6" fillId="0" borderId="0" xfId="1"/>
    <xf numFmtId="0" fontId="2" fillId="0" borderId="0" xfId="0" applyFont="1" applyAlignment="1">
      <alignment horizontal="left" vertical="top" wrapText="1"/>
    </xf>
    <xf numFmtId="0" fontId="0" fillId="0" borderId="0" xfId="0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533807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ds-059359__custom_19409157/default/table" TargetMode="External"/><Relationship Id="rId1" Type="http://schemas.openxmlformats.org/officeDocument/2006/relationships/hyperlink" Target="https://ec.europa.eu/eurostat/databrowser/product/page/ds-059359__custom_1940915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c.europa.eu/eurostat/statistics-explained/index.php?title=Chemicals_production_and_consumption_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workbookViewId="0">
      <selection activeCell="C28" sqref="C28"/>
    </sheetView>
  </sheetViews>
  <sheetFormatPr baseColWidth="10" defaultColWidth="8.7265625" defaultRowHeight="14.5" x14ac:dyDescent="0.35"/>
  <cols>
    <col min="1" max="1" width="19.90625" customWidth="1"/>
    <col min="2" max="2" width="8.90625" customWidth="1"/>
    <col min="3" max="3" width="25.81640625" customWidth="1"/>
    <col min="4" max="4" width="18" customWidth="1"/>
    <col min="5" max="5" width="19.90625" customWidth="1"/>
  </cols>
  <sheetData>
    <row r="6" spans="1:15" x14ac:dyDescent="0.35">
      <c r="A6" s="12" t="s">
        <v>0</v>
      </c>
    </row>
    <row r="7" spans="1:15" x14ac:dyDescent="0.35">
      <c r="A7" s="14" t="s">
        <v>1</v>
      </c>
      <c r="B7" s="14" t="s">
        <v>2</v>
      </c>
    </row>
    <row r="8" spans="1:15" ht="42.75" customHeight="1" x14ac:dyDescent="0.35">
      <c r="A8" s="13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6</v>
      </c>
    </row>
    <row r="13" spans="1:15" x14ac:dyDescent="0.35">
      <c r="B13" s="1" t="s">
        <v>8</v>
      </c>
    </row>
    <row r="14" spans="1:15" x14ac:dyDescent="0.35">
      <c r="C14" s="2" t="s">
        <v>9</v>
      </c>
    </row>
    <row r="15" spans="1:15" x14ac:dyDescent="0.35">
      <c r="B15" s="12" t="s">
        <v>10</v>
      </c>
      <c r="C15" s="12" t="s">
        <v>11</v>
      </c>
      <c r="D15" s="12" t="s">
        <v>12</v>
      </c>
    </row>
    <row r="16" spans="1:15" x14ac:dyDescent="0.35">
      <c r="B16" s="15" t="s">
        <v>13</v>
      </c>
      <c r="C16" s="3" t="s">
        <v>79</v>
      </c>
      <c r="D16" s="12"/>
    </row>
    <row r="17" spans="2:4" x14ac:dyDescent="0.35">
      <c r="B17" s="15" t="s">
        <v>16</v>
      </c>
      <c r="C17" s="2" t="s">
        <v>14</v>
      </c>
      <c r="D17" s="2" t="s">
        <v>15</v>
      </c>
    </row>
    <row r="18" spans="2:4" x14ac:dyDescent="0.35">
      <c r="B18" s="15" t="s">
        <v>75</v>
      </c>
      <c r="C18" s="3" t="s">
        <v>14</v>
      </c>
      <c r="D18" s="3" t="s">
        <v>74</v>
      </c>
    </row>
    <row r="19" spans="2:4" x14ac:dyDescent="0.35">
      <c r="B19" s="15" t="s">
        <v>77</v>
      </c>
      <c r="C19" s="3" t="s">
        <v>14</v>
      </c>
      <c r="D19" s="3" t="s">
        <v>76</v>
      </c>
    </row>
    <row r="20" spans="2:4" x14ac:dyDescent="0.35">
      <c r="B20" s="15" t="s">
        <v>78</v>
      </c>
      <c r="C20" s="3" t="s">
        <v>14</v>
      </c>
      <c r="D20" s="3" t="s">
        <v>17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7" location="'Sheet 1'!A1" display="Sheet 1" xr:uid="{00000000-0004-0000-0000-000002000000}"/>
    <hyperlink ref="B18" location="'Sheet 1'!A1" display="Sheet 1" xr:uid="{E935D904-4045-4C04-AFFA-A2296C285D73}"/>
    <hyperlink ref="B19" location="'Sheet 3'!A1" display="Sheet 3" xr:uid="{6A9E7D3F-9F30-4A74-9895-1F6430098438}"/>
    <hyperlink ref="B20" location="'Sheet 5'!A1" display="Sheet 5" xr:uid="{012CFF10-E7B3-4DD8-ACCC-192BC8D24A0E}"/>
    <hyperlink ref="B16" location="'Sheet 1'!A1" display="Sheet 1" xr:uid="{0D345F17-072A-46DE-A89C-91CA66A022C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2390-26EC-45C6-A155-9C5517642AD9}">
  <dimension ref="B2:D11"/>
  <sheetViews>
    <sheetView workbookViewId="0">
      <selection activeCell="I13" sqref="I13"/>
    </sheetView>
  </sheetViews>
  <sheetFormatPr baseColWidth="10" defaultRowHeight="14.5" x14ac:dyDescent="0.35"/>
  <sheetData>
    <row r="2" spans="2:4" x14ac:dyDescent="0.35">
      <c r="B2" s="16" t="s">
        <v>84</v>
      </c>
    </row>
    <row r="3" spans="2:4" x14ac:dyDescent="0.35">
      <c r="B3" t="s">
        <v>88</v>
      </c>
    </row>
    <row r="4" spans="2:4" x14ac:dyDescent="0.35">
      <c r="B4" t="s">
        <v>89</v>
      </c>
    </row>
    <row r="5" spans="2:4" x14ac:dyDescent="0.35">
      <c r="B5" t="s">
        <v>85</v>
      </c>
    </row>
    <row r="6" spans="2:4" x14ac:dyDescent="0.35">
      <c r="B6" s="17" t="s">
        <v>86</v>
      </c>
    </row>
    <row r="7" spans="2:4" x14ac:dyDescent="0.35">
      <c r="B7" s="17" t="s">
        <v>90</v>
      </c>
    </row>
    <row r="8" spans="2:4" x14ac:dyDescent="0.35">
      <c r="B8" s="17" t="s">
        <v>91</v>
      </c>
    </row>
    <row r="9" spans="2:4" x14ac:dyDescent="0.35">
      <c r="B9" s="17" t="s">
        <v>87</v>
      </c>
    </row>
    <row r="10" spans="2:4" x14ac:dyDescent="0.35">
      <c r="B10" s="17" t="s">
        <v>92</v>
      </c>
    </row>
    <row r="11" spans="2:4" x14ac:dyDescent="0.35">
      <c r="B11" s="17" t="s">
        <v>94</v>
      </c>
      <c r="D11" s="18" t="s">
        <v>93</v>
      </c>
    </row>
  </sheetData>
  <hyperlinks>
    <hyperlink ref="D11" r:id="rId1" location="Data_sources)" xr:uid="{18AF9220-7ACE-49F9-BC10-DB1850AC0BC9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92C0-78D6-4B22-BA7B-193A39065DCB}">
  <dimension ref="A2:L42"/>
  <sheetViews>
    <sheetView tabSelected="1" workbookViewId="0">
      <selection activeCell="F32" sqref="F32"/>
    </sheetView>
  </sheetViews>
  <sheetFormatPr baseColWidth="10" defaultColWidth="8.7265625" defaultRowHeight="11.4" customHeight="1" x14ac:dyDescent="0.35"/>
  <cols>
    <col min="1" max="1" width="29.90625" customWidth="1"/>
    <col min="2" max="12" width="10" customWidth="1"/>
  </cols>
  <sheetData>
    <row r="2" spans="1:12" ht="14.5" x14ac:dyDescent="0.35">
      <c r="A2" s="1" t="s">
        <v>11</v>
      </c>
      <c r="C2" s="3" t="s">
        <v>14</v>
      </c>
    </row>
    <row r="3" spans="1:12" ht="14.5" x14ac:dyDescent="0.35">
      <c r="A3" s="1" t="s">
        <v>12</v>
      </c>
      <c r="C3" s="3" t="s">
        <v>83</v>
      </c>
    </row>
    <row r="5" spans="1:12" ht="14.5" x14ac:dyDescent="0.35">
      <c r="A5" s="6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  <c r="K5" s="5" t="s">
        <v>31</v>
      </c>
      <c r="L5" s="5" t="s">
        <v>32</v>
      </c>
    </row>
    <row r="6" spans="1:12" ht="14.5" x14ac:dyDescent="0.35">
      <c r="A6" s="6" t="s">
        <v>33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</row>
    <row r="7" spans="1:12" ht="14.5" x14ac:dyDescent="0.35">
      <c r="A7" s="7" t="s">
        <v>35</v>
      </c>
      <c r="B7" s="9" t="s">
        <v>36</v>
      </c>
      <c r="C7" s="9" t="s">
        <v>36</v>
      </c>
      <c r="D7" s="9" t="s">
        <v>36</v>
      </c>
      <c r="E7" s="9" t="s">
        <v>36</v>
      </c>
      <c r="F7" s="9" t="s">
        <v>36</v>
      </c>
      <c r="G7" s="9" t="s">
        <v>36</v>
      </c>
      <c r="H7" s="9" t="s">
        <v>36</v>
      </c>
      <c r="I7" s="9" t="s">
        <v>36</v>
      </c>
      <c r="J7" s="9" t="s">
        <v>36</v>
      </c>
      <c r="K7" s="9" t="s">
        <v>36</v>
      </c>
      <c r="L7" s="9" t="s">
        <v>36</v>
      </c>
    </row>
    <row r="8" spans="1:12" ht="14.5" x14ac:dyDescent="0.35">
      <c r="A8" s="8" t="s">
        <v>95</v>
      </c>
      <c r="B8" s="10">
        <f>MAX(0,IF(Production!B11=":",0,Production!B11)+IF(Import!B11=":",0,Import!B11)-IF(Export!B11=":",0,Export!B11))</f>
        <v>0</v>
      </c>
      <c r="C8" s="10">
        <f>MAX(0,IF(Production!C11=":",0,Production!C11)+IF(Import!C11=":",0,Import!C11)-IF(Export!C11=":",0,Export!C11))</f>
        <v>0</v>
      </c>
      <c r="D8" s="10">
        <f>MAX(0,IF(Production!D11=":",0,Production!D11)+IF(Import!D11=":",0,Import!D11)-IF(Export!D11=":",0,Export!D11))</f>
        <v>0</v>
      </c>
      <c r="E8" s="10">
        <f>MAX(0,IF(Production!E11=":",0,Production!E11)+IF(Import!E11=":",0,Import!E11)-IF(Export!E11=":",0,Export!E11))</f>
        <v>0</v>
      </c>
      <c r="F8" s="10">
        <f>MAX(0,IF(Production!F11=":",0,Production!F11)+IF(Import!F11=":",0,Import!F11)-IF(Export!F11=":",0,Export!F11))</f>
        <v>0</v>
      </c>
      <c r="G8" s="10">
        <f>MAX(0,IF(Production!G11=":",0,Production!G11)+IF(Import!G11=":",0,Import!G11)-IF(Export!G11=":",0,Export!G11))</f>
        <v>0</v>
      </c>
      <c r="H8" s="10">
        <f>MAX(0,IF(Production!H11=":",0,Production!H11)+IF(Import!H11=":",0,Import!H11)-IF(Export!H11=":",0,Export!H11))</f>
        <v>0</v>
      </c>
      <c r="I8" s="10">
        <f>MAX(0,IF(Production!I11=":",0,Production!I11)+IF(Import!I11=":",0,Import!I11)-IF(Export!I11=":",0,Export!I11))</f>
        <v>0</v>
      </c>
      <c r="J8" s="10">
        <f>MAX(0,IF(Production!J11=":",0,Production!J11)+IF(Import!J11=":",0,Import!J11)-IF(Export!J11=":",0,Export!J11))</f>
        <v>0</v>
      </c>
      <c r="K8" s="10">
        <f>MAX(0,IF(Production!K11=":",0,Production!K11)+IF(Import!K11=":",0,Import!K11)-IF(Export!K11=":",0,Export!K11))</f>
        <v>0</v>
      </c>
      <c r="L8" s="10">
        <f>MAX(0,IF(Production!L11=":",0,Production!L11)+IF(Import!L11=":",0,Import!L11)-IF(Export!L11=":",0,Export!L11))</f>
        <v>0</v>
      </c>
    </row>
    <row r="9" spans="1:12" ht="14.5" x14ac:dyDescent="0.35">
      <c r="A9" s="8" t="s">
        <v>96</v>
      </c>
      <c r="B9" s="10">
        <f>MAX(0,IF(Production!B12=":",0,Production!B12)+IF(Import!B12=":",0,Import!B12)-IF(Export!B12=":",0,Export!B12))</f>
        <v>188374200</v>
      </c>
      <c r="C9" s="10">
        <f>MAX(0,IF(Production!C12=":",0,Production!C12)+IF(Import!C12=":",0,Import!C12)-IF(Export!C12=":",0,Export!C12))</f>
        <v>229971400</v>
      </c>
      <c r="D9" s="10">
        <f>MAX(0,IF(Production!D12=":",0,Production!D12)+IF(Import!D12=":",0,Import!D12)-IF(Export!D12=":",0,Export!D12))</f>
        <v>257548400</v>
      </c>
      <c r="E9" s="10">
        <f>MAX(0,IF(Production!E12=":",0,Production!E12)+IF(Import!E12=":",0,Import!E12)-IF(Export!E12=":",0,Export!E12))</f>
        <v>226499100</v>
      </c>
      <c r="F9" s="10">
        <f>MAX(0,IF(Production!F12=":",0,Production!F12)+IF(Import!F12=":",0,Import!F12)-IF(Export!F12=":",0,Export!F12))</f>
        <v>253075100</v>
      </c>
      <c r="G9" s="10">
        <f>MAX(0,IF(Production!G12=":",0,Production!G12)+IF(Import!G12=":",0,Import!G12)-IF(Export!G12=":",0,Export!G12))</f>
        <v>230592900</v>
      </c>
      <c r="H9" s="10">
        <f>MAX(0,IF(Production!H12=":",0,Production!H12)+IF(Import!H12=":",0,Import!H12)-IF(Export!H12=":",0,Export!H12))</f>
        <v>203142207</v>
      </c>
      <c r="I9" s="10">
        <f>MAX(0,IF(Production!I12=":",0,Production!I12)+IF(Import!I12=":",0,Import!I12)-IF(Export!I12=":",0,Export!I12))</f>
        <v>275568889</v>
      </c>
      <c r="J9" s="10">
        <f>MAX(0,IF(Production!J12=":",0,Production!J12)+IF(Import!J12=":",0,Import!J12)-IF(Export!J12=":",0,Export!J12))</f>
        <v>212397725</v>
      </c>
      <c r="K9" s="10">
        <f>MAX(0,IF(Production!K12=":",0,Production!K12)+IF(Import!K12=":",0,Import!K12)-IF(Export!K12=":",0,Export!K12))</f>
        <v>165712968</v>
      </c>
      <c r="L9" s="10">
        <f>MAX(0,IF(Production!L12=":",0,Production!L12)+IF(Import!L12=":",0,Import!L12)-IF(Export!L12=":",0,Export!L12))</f>
        <v>138736347</v>
      </c>
    </row>
    <row r="10" spans="1:12" ht="14.5" x14ac:dyDescent="0.35">
      <c r="A10" s="8" t="s">
        <v>97</v>
      </c>
      <c r="B10" s="10">
        <f>MAX(0,IF(Production!B13=":",0,Production!B13)+IF(Import!B13=":",0,Import!B13)-IF(Export!B13=":",0,Export!B13))</f>
        <v>0</v>
      </c>
      <c r="C10" s="10">
        <f>MAX(0,IF(Production!C13=":",0,Production!C13)+IF(Import!C13=":",0,Import!C13)-IF(Export!C13=":",0,Export!C13))</f>
        <v>0</v>
      </c>
      <c r="D10" s="10">
        <f>MAX(0,IF(Production!D13=":",0,Production!D13)+IF(Import!D13=":",0,Import!D13)-IF(Export!D13=":",0,Export!D13))</f>
        <v>0</v>
      </c>
      <c r="E10" s="10">
        <f>MAX(0,IF(Production!E13=":",0,Production!E13)+IF(Import!E13=":",0,Import!E13)-IF(Export!E13=":",0,Export!E13))</f>
        <v>0</v>
      </c>
      <c r="F10" s="10">
        <f>MAX(0,IF(Production!F13=":",0,Production!F13)+IF(Import!F13=":",0,Import!F13)-IF(Export!F13=":",0,Export!F13))</f>
        <v>0</v>
      </c>
      <c r="G10" s="10">
        <f>MAX(0,IF(Production!G13=":",0,Production!G13)+IF(Import!G13=":",0,Import!G13)-IF(Export!G13=":",0,Export!G13))</f>
        <v>0</v>
      </c>
      <c r="H10" s="10">
        <f>MAX(0,IF(Production!H13=":",0,Production!H13)+IF(Import!H13=":",0,Import!H13)-IF(Export!H13=":",0,Export!H13))</f>
        <v>0</v>
      </c>
      <c r="I10" s="10">
        <f>MAX(0,IF(Production!I13=":",0,Production!I13)+IF(Import!I13=":",0,Import!I13)-IF(Export!I13=":",0,Export!I13))</f>
        <v>0</v>
      </c>
      <c r="J10" s="10">
        <f>MAX(0,IF(Production!J13=":",0,Production!J13)+IF(Import!J13=":",0,Import!J13)-IF(Export!J13=":",0,Export!J13))</f>
        <v>0</v>
      </c>
      <c r="K10" s="10">
        <f>MAX(0,IF(Production!K13=":",0,Production!K13)+IF(Import!K13=":",0,Import!K13)-IF(Export!K13=":",0,Export!K13))</f>
        <v>0</v>
      </c>
      <c r="L10" s="10">
        <f>MAX(0,IF(Production!L13=":",0,Production!L13)+IF(Import!L13=":",0,Import!L13)-IF(Export!L13=":",0,Export!L13))</f>
        <v>0</v>
      </c>
    </row>
    <row r="11" spans="1:12" ht="14.5" x14ac:dyDescent="0.35">
      <c r="A11" s="8" t="s">
        <v>98</v>
      </c>
      <c r="B11" s="10">
        <f>MAX(0,IF(Production!B14=":",0,Production!B14)+IF(Import!B14=":",0,Import!B14)-IF(Export!B14=":",0,Export!B14))</f>
        <v>555273630</v>
      </c>
      <c r="C11" s="10">
        <f>MAX(0,IF(Production!C14=":",0,Production!C14)+IF(Import!C14=":",0,Import!C14)-IF(Export!C14=":",0,Export!C14))</f>
        <v>488054088</v>
      </c>
      <c r="D11" s="10">
        <f>MAX(0,IF(Production!D14=":",0,Production!D14)+IF(Import!D14=":",0,Import!D14)-IF(Export!D14=":",0,Export!D14))</f>
        <v>533656849</v>
      </c>
      <c r="E11" s="10">
        <f>MAX(0,IF(Production!E14=":",0,Production!E14)+IF(Import!E14=":",0,Import!E14)-IF(Export!E14=":",0,Export!E14))</f>
        <v>538554600</v>
      </c>
      <c r="F11" s="10">
        <f>MAX(0,IF(Production!F14=":",0,Production!F14)+IF(Import!F14=":",0,Import!F14)-IF(Export!F14=":",0,Export!F14))</f>
        <v>593777067</v>
      </c>
      <c r="G11" s="10">
        <f>MAX(0,IF(Production!G14=":",0,Production!G14)+IF(Import!G14=":",0,Import!G14)-IF(Export!G14=":",0,Export!G14))</f>
        <v>513664800</v>
      </c>
      <c r="H11" s="10">
        <f>MAX(0,IF(Production!H14=":",0,Production!H14)+IF(Import!H14=":",0,Import!H14)-IF(Export!H14=":",0,Export!H14))</f>
        <v>552367493</v>
      </c>
      <c r="I11" s="10">
        <f>MAX(0,IF(Production!I14=":",0,Production!I14)+IF(Import!I14=":",0,Import!I14)-IF(Export!I14=":",0,Export!I14))</f>
        <v>691392847</v>
      </c>
      <c r="J11" s="10">
        <f>MAX(0,IF(Production!J14=":",0,Production!J14)+IF(Import!J14=":",0,Import!J14)-IF(Export!J14=":",0,Export!J14))</f>
        <v>618986261</v>
      </c>
      <c r="K11" s="10">
        <f>MAX(0,IF(Production!K14=":",0,Production!K14)+IF(Import!K14=":",0,Import!K14)-IF(Export!K14=":",0,Export!K14))</f>
        <v>522616205</v>
      </c>
      <c r="L11" s="10">
        <f>MAX(0,IF(Production!L14=":",0,Production!L14)+IF(Import!L14=":",0,Import!L14)-IF(Export!L14=":",0,Export!L14))</f>
        <v>492417484</v>
      </c>
    </row>
    <row r="12" spans="1:12" ht="14.5" x14ac:dyDescent="0.35">
      <c r="A12" s="8" t="s">
        <v>99</v>
      </c>
      <c r="B12" s="10">
        <f>MAX(0,IF(Production!B15=":",0,Production!B15)+IF(Import!B15=":",0,Import!B15)-IF(Export!B15=":",0,Export!B15))</f>
        <v>26315100</v>
      </c>
      <c r="C12" s="10">
        <f>MAX(0,IF(Production!C15=":",0,Production!C15)+IF(Import!C15=":",0,Import!C15)-IF(Export!C15=":",0,Export!C15))</f>
        <v>29571500</v>
      </c>
      <c r="D12" s="10">
        <f>MAX(0,IF(Production!D15=":",0,Production!D15)+IF(Import!D15=":",0,Import!D15)-IF(Export!D15=":",0,Export!D15))</f>
        <v>26141700</v>
      </c>
      <c r="E12" s="10">
        <f>MAX(0,IF(Production!E15=":",0,Production!E15)+IF(Import!E15=":",0,Import!E15)-IF(Export!E15=":",0,Export!E15))</f>
        <v>24745500</v>
      </c>
      <c r="F12" s="10">
        <f>MAX(0,IF(Production!F15=":",0,Production!F15)+IF(Import!F15=":",0,Import!F15)-IF(Export!F15=":",0,Export!F15))</f>
        <v>37901200</v>
      </c>
      <c r="G12" s="10">
        <f>MAX(0,IF(Production!G15=":",0,Production!G15)+IF(Import!G15=":",0,Import!G15)-IF(Export!G15=":",0,Export!G15))</f>
        <v>41281100</v>
      </c>
      <c r="H12" s="10">
        <f>MAX(0,IF(Production!H15=":",0,Production!H15)+IF(Import!H15=":",0,Import!H15)-IF(Export!H15=":",0,Export!H15))</f>
        <v>36467225</v>
      </c>
      <c r="I12" s="10">
        <f>MAX(0,IF(Production!I15=":",0,Production!I15)+IF(Import!I15=":",0,Import!I15)-IF(Export!I15=":",0,Export!I15))</f>
        <v>38657871</v>
      </c>
      <c r="J12" s="10">
        <f>MAX(0,IF(Production!J15=":",0,Production!J15)+IF(Import!J15=":",0,Import!J15)-IF(Export!J15=":",0,Export!J15))</f>
        <v>59537211</v>
      </c>
      <c r="K12" s="10">
        <f>MAX(0,IF(Production!K15=":",0,Production!K15)+IF(Import!K15=":",0,Import!K15)-IF(Export!K15=":",0,Export!K15))</f>
        <v>51867382</v>
      </c>
      <c r="L12" s="10">
        <f>MAX(0,IF(Production!L15=":",0,Production!L15)+IF(Import!L15=":",0,Import!L15)-IF(Export!L15=":",0,Export!L15))</f>
        <v>66053043</v>
      </c>
    </row>
    <row r="13" spans="1:12" ht="14.5" x14ac:dyDescent="0.35">
      <c r="A13" s="8" t="s">
        <v>100</v>
      </c>
      <c r="B13" s="10">
        <f>MAX(0,IF(Production!B16=":",0,Production!B16)+IF(Import!B16=":",0,Import!B16)-IF(Export!B16=":",0,Export!B16))</f>
        <v>98060800</v>
      </c>
      <c r="C13" s="10">
        <f>MAX(0,IF(Production!C16=":",0,Production!C16)+IF(Import!C16=":",0,Import!C16)-IF(Export!C16=":",0,Export!C16))</f>
        <v>90060700</v>
      </c>
      <c r="D13" s="10">
        <f>MAX(0,IF(Production!D16=":",0,Production!D16)+IF(Import!D16=":",0,Import!D16)-IF(Export!D16=":",0,Export!D16))</f>
        <v>87339700</v>
      </c>
      <c r="E13" s="10">
        <f>MAX(0,IF(Production!E16=":",0,Production!E16)+IF(Import!E16=":",0,Import!E16)-IF(Export!E16=":",0,Export!E16))</f>
        <v>92883100</v>
      </c>
      <c r="F13" s="10">
        <f>MAX(0,IF(Production!F16=":",0,Production!F16)+IF(Import!F16=":",0,Import!F16)-IF(Export!F16=":",0,Export!F16))</f>
        <v>81923000</v>
      </c>
      <c r="G13" s="10">
        <f>MAX(0,IF(Production!G16=":",0,Production!G16)+IF(Import!G16=":",0,Import!G16)-IF(Export!G16=":",0,Export!G16))</f>
        <v>78637600</v>
      </c>
      <c r="H13" s="10">
        <f>MAX(0,IF(Production!H16=":",0,Production!H16)+IF(Import!H16=":",0,Import!H16)-IF(Export!H16=":",0,Export!H16))</f>
        <v>89505226</v>
      </c>
      <c r="I13" s="10">
        <f>MAX(0,IF(Production!I16=":",0,Production!I16)+IF(Import!I16=":",0,Import!I16)-IF(Export!I16=":",0,Export!I16))</f>
        <v>95705901</v>
      </c>
      <c r="J13" s="10">
        <f>MAX(0,IF(Production!J16=":",0,Production!J16)+IF(Import!J16=":",0,Import!J16)-IF(Export!J16=":",0,Export!J16))</f>
        <v>74904837</v>
      </c>
      <c r="K13" s="10">
        <f>MAX(0,IF(Production!K16=":",0,Production!K16)+IF(Import!K16=":",0,Import!K16)-IF(Export!K16=":",0,Export!K16))</f>
        <v>70517007</v>
      </c>
      <c r="L13" s="10">
        <f>MAX(0,IF(Production!L16=":",0,Production!L16)+IF(Import!L16=":",0,Import!L16)-IF(Export!L16=":",0,Export!L16))</f>
        <v>58658563</v>
      </c>
    </row>
    <row r="14" spans="1:12" ht="14.5" x14ac:dyDescent="0.35">
      <c r="A14" s="8" t="s">
        <v>101</v>
      </c>
      <c r="B14" s="10">
        <f>MAX(0,IF(Production!B17=":",0,Production!B17)+IF(Import!B17=":",0,Import!B17)-IF(Export!B17=":",0,Export!B17))</f>
        <v>2253939600</v>
      </c>
      <c r="C14" s="10">
        <f>MAX(0,IF(Production!C17=":",0,Production!C17)+IF(Import!C17=":",0,Import!C17)-IF(Export!C17=":",0,Export!C17))</f>
        <v>1980017800</v>
      </c>
      <c r="D14" s="10">
        <f>MAX(0,IF(Production!D17=":",0,Production!D17)+IF(Import!D17=":",0,Import!D17)-IF(Export!D17=":",0,Export!D17))</f>
        <v>2053292100</v>
      </c>
      <c r="E14" s="10">
        <f>MAX(0,IF(Production!E17=":",0,Production!E17)+IF(Import!E17=":",0,Import!E17)-IF(Export!E17=":",0,Export!E17))</f>
        <v>2328810900</v>
      </c>
      <c r="F14" s="10">
        <f>MAX(0,IF(Production!F17=":",0,Production!F17)+IF(Import!F17=":",0,Import!F17)-IF(Export!F17=":",0,Export!F17))</f>
        <v>2342277200</v>
      </c>
      <c r="G14" s="10">
        <f>MAX(0,IF(Production!G17=":",0,Production!G17)+IF(Import!G17=":",0,Import!G17)-IF(Export!G17=":",0,Export!G17))</f>
        <v>2560745700</v>
      </c>
      <c r="H14" s="10">
        <f>MAX(0,IF(Production!H17=":",0,Production!H17)+IF(Import!H17=":",0,Import!H17)-IF(Export!H17=":",0,Export!H17))</f>
        <v>2588061315</v>
      </c>
      <c r="I14" s="10">
        <f>MAX(0,IF(Production!I17=":",0,Production!I17)+IF(Import!I17=":",0,Import!I17)-IF(Export!I17=":",0,Export!I17))</f>
        <v>2730400650</v>
      </c>
      <c r="J14" s="10">
        <f>MAX(0,IF(Production!J17=":",0,Production!J17)+IF(Import!J17=":",0,Import!J17)-IF(Export!J17=":",0,Export!J17))</f>
        <v>2375162811</v>
      </c>
      <c r="K14" s="10">
        <f>MAX(0,IF(Production!K17=":",0,Production!K17)+IF(Import!K17=":",0,Import!K17)-IF(Export!K17=":",0,Export!K17))</f>
        <v>1527643566</v>
      </c>
      <c r="L14" s="10">
        <f>MAX(0,IF(Production!L17=":",0,Production!L17)+IF(Import!L17=":",0,Import!L17)-IF(Export!L17=":",0,Export!L17))</f>
        <v>2571957959</v>
      </c>
    </row>
    <row r="15" spans="1:12" ht="14.5" x14ac:dyDescent="0.35">
      <c r="A15" s="8" t="s">
        <v>102</v>
      </c>
      <c r="B15" s="10">
        <f>MAX(0,IF(Production!B18=":",0,Production!B18)+IF(Import!B18=":",0,Import!B18)-IF(Export!B18=":",0,Export!B18))</f>
        <v>33255790</v>
      </c>
      <c r="C15" s="10">
        <f>MAX(0,IF(Production!C18=":",0,Production!C18)+IF(Import!C18=":",0,Import!C18)-IF(Export!C18=":",0,Export!C18))</f>
        <v>55781995</v>
      </c>
      <c r="D15" s="10">
        <f>MAX(0,IF(Production!D18=":",0,Production!D18)+IF(Import!D18=":",0,Import!D18)-IF(Export!D18=":",0,Export!D18))</f>
        <v>54370400</v>
      </c>
      <c r="E15" s="10">
        <f>MAX(0,IF(Production!E18=":",0,Production!E18)+IF(Import!E18=":",0,Import!E18)-IF(Export!E18=":",0,Export!E18))</f>
        <v>69061300</v>
      </c>
      <c r="F15" s="10">
        <f>MAX(0,IF(Production!F18=":",0,Production!F18)+IF(Import!F18=":",0,Import!F18)-IF(Export!F18=":",0,Export!F18))</f>
        <v>68053550</v>
      </c>
      <c r="G15" s="10">
        <f>MAX(0,IF(Production!G18=":",0,Production!G18)+IF(Import!G18=":",0,Import!G18)-IF(Export!G18=":",0,Export!G18))</f>
        <v>49249800</v>
      </c>
      <c r="H15" s="10">
        <f>MAX(0,IF(Production!H18=":",0,Production!H18)+IF(Import!H18=":",0,Import!H18)-IF(Export!H18=":",0,Export!H18))</f>
        <v>54378031</v>
      </c>
      <c r="I15" s="10">
        <f>MAX(0,IF(Production!I18=":",0,Production!I18)+IF(Import!I18=":",0,Import!I18)-IF(Export!I18=":",0,Export!I18))</f>
        <v>51124824</v>
      </c>
      <c r="J15" s="10">
        <f>MAX(0,IF(Production!J18=":",0,Production!J18)+IF(Import!J18=":",0,Import!J18)-IF(Export!J18=":",0,Export!J18))</f>
        <v>39867477</v>
      </c>
      <c r="K15" s="10">
        <f>MAX(0,IF(Production!K18=":",0,Production!K18)+IF(Import!K18=":",0,Import!K18)-IF(Export!K18=":",0,Export!K18))</f>
        <v>38433493</v>
      </c>
      <c r="L15" s="10">
        <f>MAX(0,IF(Production!L18=":",0,Production!L18)+IF(Import!L18=":",0,Import!L18)-IF(Export!L18=":",0,Export!L18))</f>
        <v>22715096</v>
      </c>
    </row>
    <row r="16" spans="1:12" ht="14.5" x14ac:dyDescent="0.35">
      <c r="A16" s="8" t="s">
        <v>103</v>
      </c>
      <c r="B16" s="10">
        <f>MAX(0,IF(Production!B19=":",0,Production!B19)+IF(Import!B19=":",0,Import!B19)-IF(Export!B19=":",0,Export!B19))</f>
        <v>3516500</v>
      </c>
      <c r="C16" s="10">
        <f>MAX(0,IF(Production!C19=":",0,Production!C19)+IF(Import!C19=":",0,Import!C19)-IF(Export!C19=":",0,Export!C19))</f>
        <v>3495200</v>
      </c>
      <c r="D16" s="10">
        <f>MAX(0,IF(Production!D19=":",0,Production!D19)+IF(Import!D19=":",0,Import!D19)-IF(Export!D19=":",0,Export!D19))</f>
        <v>4894800</v>
      </c>
      <c r="E16" s="10">
        <f>MAX(0,IF(Production!E19=":",0,Production!E19)+IF(Import!E19=":",0,Import!E19)-IF(Export!E19=":",0,Export!E19))</f>
        <v>4790600</v>
      </c>
      <c r="F16" s="10">
        <f>MAX(0,IF(Production!F19=":",0,Production!F19)+IF(Import!F19=":",0,Import!F19)-IF(Export!F19=":",0,Export!F19))</f>
        <v>3077300</v>
      </c>
      <c r="G16" s="10">
        <f>MAX(0,IF(Production!G19=":",0,Production!G19)+IF(Import!G19=":",0,Import!G19)-IF(Export!G19=":",0,Export!G19))</f>
        <v>3802000</v>
      </c>
      <c r="H16" s="10">
        <f>MAX(0,IF(Production!H19=":",0,Production!H19)+IF(Import!H19=":",0,Import!H19)-IF(Export!H19=":",0,Export!H19))</f>
        <v>2338939</v>
      </c>
      <c r="I16" s="10">
        <f>MAX(0,IF(Production!I19=":",0,Production!I19)+IF(Import!I19=":",0,Import!I19)-IF(Export!I19=":",0,Export!I19))</f>
        <v>3633944</v>
      </c>
      <c r="J16" s="10">
        <f>MAX(0,IF(Production!J19=":",0,Production!J19)+IF(Import!J19=":",0,Import!J19)-IF(Export!J19=":",0,Export!J19))</f>
        <v>9863114</v>
      </c>
      <c r="K16" s="10">
        <f>MAX(0,IF(Production!K19=":",0,Production!K19)+IF(Import!K19=":",0,Import!K19)-IF(Export!K19=":",0,Export!K19))</f>
        <v>5868233</v>
      </c>
      <c r="L16" s="10">
        <f>MAX(0,IF(Production!L19=":",0,Production!L19)+IF(Import!L19=":",0,Import!L19)-IF(Export!L19=":",0,Export!L19))</f>
        <v>2572655</v>
      </c>
    </row>
    <row r="17" spans="1:12" ht="14.5" x14ac:dyDescent="0.35">
      <c r="A17" s="8" t="s">
        <v>104</v>
      </c>
      <c r="B17" s="10">
        <f>MAX(0,IF(Production!B20=":",0,Production!B20)+IF(Import!B20=":",0,Import!B20)-IF(Export!B20=":",0,Export!B20))</f>
        <v>465106500</v>
      </c>
      <c r="C17" s="10">
        <f>MAX(0,IF(Production!C20=":",0,Production!C20)+IF(Import!C20=":",0,Import!C20)-IF(Export!C20=":",0,Export!C20))</f>
        <v>488305300</v>
      </c>
      <c r="D17" s="10">
        <f>MAX(0,IF(Production!D20=":",0,Production!D20)+IF(Import!D20=":",0,Import!D20)-IF(Export!D20=":",0,Export!D20))</f>
        <v>492582800</v>
      </c>
      <c r="E17" s="10">
        <f>MAX(0,IF(Production!E20=":",0,Production!E20)+IF(Import!E20=":",0,Import!E20)-IF(Export!E20=":",0,Export!E20))</f>
        <v>616593000</v>
      </c>
      <c r="F17" s="10">
        <f>MAX(0,IF(Production!F20=":",0,Production!F20)+IF(Import!F20=":",0,Import!F20)-IF(Export!F20=":",0,Export!F20))</f>
        <v>621696600</v>
      </c>
      <c r="G17" s="10">
        <f>MAX(0,IF(Production!G20=":",0,Production!G20)+IF(Import!G20=":",0,Import!G20)-IF(Export!G20=":",0,Export!G20))</f>
        <v>635499400</v>
      </c>
      <c r="H17" s="10">
        <f>MAX(0,IF(Production!H20=":",0,Production!H20)+IF(Import!H20=":",0,Import!H20)-IF(Export!H20=":",0,Export!H20))</f>
        <v>580266373</v>
      </c>
      <c r="I17" s="10">
        <f>MAX(0,IF(Production!I20=":",0,Production!I20)+IF(Import!I20=":",0,Import!I20)-IF(Export!I20=":",0,Export!I20))</f>
        <v>582521348</v>
      </c>
      <c r="J17" s="10">
        <f>MAX(0,IF(Production!J20=":",0,Production!J20)+IF(Import!J20=":",0,Import!J20)-IF(Export!J20=":",0,Export!J20))</f>
        <v>545690205</v>
      </c>
      <c r="K17" s="10">
        <f>MAX(0,IF(Production!K20=":",0,Production!K20)+IF(Import!K20=":",0,Import!K20)-IF(Export!K20=":",0,Export!K20))</f>
        <v>453106940</v>
      </c>
      <c r="L17" s="10">
        <f>MAX(0,IF(Production!L20=":",0,Production!L20)+IF(Import!L20=":",0,Import!L20)-IF(Export!L20=":",0,Export!L20))</f>
        <v>446799481</v>
      </c>
    </row>
    <row r="18" spans="1:12" ht="14.5" x14ac:dyDescent="0.35">
      <c r="A18" s="8" t="s">
        <v>105</v>
      </c>
      <c r="B18" s="10">
        <f>MAX(0,IF(Production!B21=":",0,Production!B21)+IF(Import!B21=":",0,Import!B21)-IF(Export!B21=":",0,Export!B21))</f>
        <v>135118600</v>
      </c>
      <c r="C18" s="10">
        <f>MAX(0,IF(Production!C21=":",0,Production!C21)+IF(Import!C21=":",0,Import!C21)-IF(Export!C21=":",0,Export!C21))</f>
        <v>141771700</v>
      </c>
      <c r="D18" s="10">
        <f>MAX(0,IF(Production!D21=":",0,Production!D21)+IF(Import!D21=":",0,Import!D21)-IF(Export!D21=":",0,Export!D21))</f>
        <v>150637200</v>
      </c>
      <c r="E18" s="10">
        <f>MAX(0,IF(Production!E21=":",0,Production!E21)+IF(Import!E21=":",0,Import!E21)-IF(Export!E21=":",0,Export!E21))</f>
        <v>132436900</v>
      </c>
      <c r="F18" s="10">
        <f>MAX(0,IF(Production!F21=":",0,Production!F21)+IF(Import!F21=":",0,Import!F21)-IF(Export!F21=":",0,Export!F21))</f>
        <v>120096600</v>
      </c>
      <c r="G18" s="10">
        <f>MAX(0,IF(Production!G21=":",0,Production!G21)+IF(Import!G21=":",0,Import!G21)-IF(Export!G21=":",0,Export!G21))</f>
        <v>145010300</v>
      </c>
      <c r="H18" s="10">
        <f>MAX(0,IF(Production!H21=":",0,Production!H21)+IF(Import!H21=":",0,Import!H21)-IF(Export!H21=":",0,Export!H21))</f>
        <v>109928674</v>
      </c>
      <c r="I18" s="10">
        <f>MAX(0,IF(Production!I21=":",0,Production!I21)+IF(Import!I21=":",0,Import!I21)-IF(Export!I21=":",0,Export!I21))</f>
        <v>120143976</v>
      </c>
      <c r="J18" s="10">
        <f>MAX(0,IF(Production!J21=":",0,Production!J21)+IF(Import!J21=":",0,Import!J21)-IF(Export!J21=":",0,Export!J21))</f>
        <v>109221674</v>
      </c>
      <c r="K18" s="10">
        <f>MAX(0,IF(Production!K21=":",0,Production!K21)+IF(Import!K21=":",0,Import!K21)-IF(Export!K21=":",0,Export!K21))</f>
        <v>68832489</v>
      </c>
      <c r="L18" s="10">
        <f>MAX(0,IF(Production!L21=":",0,Production!L21)+IF(Import!L21=":",0,Import!L21)-IF(Export!L21=":",0,Export!L21))</f>
        <v>39614436</v>
      </c>
    </row>
    <row r="19" spans="1:12" ht="14.5" x14ac:dyDescent="0.35">
      <c r="A19" s="8" t="s">
        <v>106</v>
      </c>
      <c r="B19" s="10">
        <f>MAX(0,IF(Production!B22=":",0,Production!B22)+IF(Import!B22=":",0,Import!B22)-IF(Export!B22=":",0,Export!B22))</f>
        <v>643122700</v>
      </c>
      <c r="C19" s="10">
        <f>MAX(0,IF(Production!C22=":",0,Production!C22)+IF(Import!C22=":",0,Import!C22)-IF(Export!C22=":",0,Export!C22))</f>
        <v>638793600</v>
      </c>
      <c r="D19" s="10">
        <f>MAX(0,IF(Production!D22=":",0,Production!D22)+IF(Import!D22=":",0,Import!D22)-IF(Export!D22=":",0,Export!D22))</f>
        <v>620774600</v>
      </c>
      <c r="E19" s="10">
        <f>MAX(0,IF(Production!E22=":",0,Production!E22)+IF(Import!E22=":",0,Import!E22)-IF(Export!E22=":",0,Export!E22))</f>
        <v>632939040</v>
      </c>
      <c r="F19" s="10">
        <f>MAX(0,IF(Production!F22=":",0,Production!F22)+IF(Import!F22=":",0,Import!F22)-IF(Export!F22=":",0,Export!F22))</f>
        <v>680327566</v>
      </c>
      <c r="G19" s="10">
        <f>MAX(0,IF(Production!G22=":",0,Production!G22)+IF(Import!G22=":",0,Import!G22)-IF(Export!G22=":",0,Export!G22))</f>
        <v>631418053</v>
      </c>
      <c r="H19" s="10">
        <f>MAX(0,IF(Production!H22=":",0,Production!H22)+IF(Import!H22=":",0,Import!H22)-IF(Export!H22=":",0,Export!H22))</f>
        <v>586590875</v>
      </c>
      <c r="I19" s="10">
        <f>MAX(0,IF(Production!I22=":",0,Production!I22)+IF(Import!I22=":",0,Import!I22)-IF(Export!I22=":",0,Export!I22))</f>
        <v>580279393</v>
      </c>
      <c r="J19" s="10">
        <f>MAX(0,IF(Production!J22=":",0,Production!J22)+IF(Import!J22=":",0,Import!J22)-IF(Export!J22=":",0,Export!J22))</f>
        <v>583064358</v>
      </c>
      <c r="K19" s="10">
        <f>MAX(0,IF(Production!K22=":",0,Production!K22)+IF(Import!K22=":",0,Import!K22)-IF(Export!K22=":",0,Export!K22))</f>
        <v>541103633</v>
      </c>
      <c r="L19" s="10">
        <f>MAX(0,IF(Production!L22=":",0,Production!L22)+IF(Import!L22=":",0,Import!L22)-IF(Export!L22=":",0,Export!L22))</f>
        <v>649541885</v>
      </c>
    </row>
    <row r="20" spans="1:12" ht="14.5" x14ac:dyDescent="0.35">
      <c r="A20" s="8" t="s">
        <v>107</v>
      </c>
      <c r="B20" s="10">
        <f>MAX(0,IF(Production!B23=":",0,Production!B23)+IF(Import!B23=":",0,Import!B23)-IF(Export!B23=":",0,Export!B23))</f>
        <v>852918900</v>
      </c>
      <c r="C20" s="10">
        <f>MAX(0,IF(Production!C23=":",0,Production!C23)+IF(Import!C23=":",0,Import!C23)-IF(Export!C23=":",0,Export!C23))</f>
        <v>923646600</v>
      </c>
      <c r="D20" s="10">
        <f>MAX(0,IF(Production!D23=":",0,Production!D23)+IF(Import!D23=":",0,Import!D23)-IF(Export!D23=":",0,Export!D23))</f>
        <v>930915300</v>
      </c>
      <c r="E20" s="10">
        <f>MAX(0,IF(Production!E23=":",0,Production!E23)+IF(Import!E23=":",0,Import!E23)-IF(Export!E23=":",0,Export!E23))</f>
        <v>853594600</v>
      </c>
      <c r="F20" s="10">
        <f>MAX(0,IF(Production!F23=":",0,Production!F23)+IF(Import!F23=":",0,Import!F23)-IF(Export!F23=":",0,Export!F23))</f>
        <v>868374000</v>
      </c>
      <c r="G20" s="10">
        <f>MAX(0,IF(Production!G23=":",0,Production!G23)+IF(Import!G23=":",0,Import!G23)-IF(Export!G23=":",0,Export!G23))</f>
        <v>643472300</v>
      </c>
      <c r="H20" s="10">
        <f>MAX(0,IF(Production!H23=":",0,Production!H23)+IF(Import!H23=":",0,Import!H23)-IF(Export!H23=":",0,Export!H23))</f>
        <v>0</v>
      </c>
      <c r="I20" s="10">
        <f>MAX(0,IF(Production!I23=":",0,Production!I23)+IF(Import!I23=":",0,Import!I23)-IF(Export!I23=":",0,Export!I23))</f>
        <v>0</v>
      </c>
      <c r="J20" s="10">
        <f>MAX(0,IF(Production!J23=":",0,Production!J23)+IF(Import!J23=":",0,Import!J23)-IF(Export!J23=":",0,Export!J23))</f>
        <v>0</v>
      </c>
      <c r="K20" s="10">
        <f>MAX(0,IF(Production!K23=":",0,Production!K23)+IF(Import!K23=":",0,Import!K23)-IF(Export!K23=":",0,Export!K23))</f>
        <v>0</v>
      </c>
      <c r="L20" s="10">
        <f>MAX(0,IF(Production!L23=":",0,Production!L23)+IF(Import!L23=":",0,Import!L23)-IF(Export!L23=":",0,Export!L23))</f>
        <v>0</v>
      </c>
    </row>
    <row r="21" spans="1:12" ht="14.5" x14ac:dyDescent="0.35">
      <c r="A21" s="8" t="s">
        <v>108</v>
      </c>
      <c r="B21" s="10">
        <f>MAX(0,IF(Production!B24=":",0,Production!B24)+IF(Import!B24=":",0,Import!B24)-IF(Export!B24=":",0,Export!B24))</f>
        <v>99743300</v>
      </c>
      <c r="C21" s="10">
        <f>MAX(0,IF(Production!C24=":",0,Production!C24)+IF(Import!C24=":",0,Import!C24)-IF(Export!C24=":",0,Export!C24))</f>
        <v>88415200</v>
      </c>
      <c r="D21" s="10">
        <f>MAX(0,IF(Production!D24=":",0,Production!D24)+IF(Import!D24=":",0,Import!D24)-IF(Export!D24=":",0,Export!D24))</f>
        <v>170382000</v>
      </c>
      <c r="E21" s="10">
        <f>MAX(0,IF(Production!E24=":",0,Production!E24)+IF(Import!E24=":",0,Import!E24)-IF(Export!E24=":",0,Export!E24))</f>
        <v>190264300</v>
      </c>
      <c r="F21" s="10">
        <f>MAX(0,IF(Production!F24=":",0,Production!F24)+IF(Import!F24=":",0,Import!F24)-IF(Export!F24=":",0,Export!F24))</f>
        <v>169280500</v>
      </c>
      <c r="G21" s="10">
        <f>MAX(0,IF(Production!G24=":",0,Production!G24)+IF(Import!G24=":",0,Import!G24)-IF(Export!G24=":",0,Export!G24))</f>
        <v>151344900</v>
      </c>
      <c r="H21" s="10">
        <f>MAX(0,IF(Production!H24=":",0,Production!H24)+IF(Import!H24=":",0,Import!H24)-IF(Export!H24=":",0,Export!H24))</f>
        <v>35977665</v>
      </c>
      <c r="I21" s="10">
        <f>MAX(0,IF(Production!I24=":",0,Production!I24)+IF(Import!I24=":",0,Import!I24)-IF(Export!I24=":",0,Export!I24))</f>
        <v>38763070</v>
      </c>
      <c r="J21" s="10">
        <f>MAX(0,IF(Production!J24=":",0,Production!J24)+IF(Import!J24=":",0,Import!J24)-IF(Export!J24=":",0,Export!J24))</f>
        <v>40203064</v>
      </c>
      <c r="K21" s="10">
        <f>MAX(0,IF(Production!K24=":",0,Production!K24)+IF(Import!K24=":",0,Import!K24)-IF(Export!K24=":",0,Export!K24))</f>
        <v>40272535</v>
      </c>
      <c r="L21" s="10">
        <f>MAX(0,IF(Production!L24=":",0,Production!L24)+IF(Import!L24=":",0,Import!L24)-IF(Export!L24=":",0,Export!L24))</f>
        <v>43841243</v>
      </c>
    </row>
    <row r="22" spans="1:12" ht="14.5" x14ac:dyDescent="0.35">
      <c r="A22" s="8" t="s">
        <v>109</v>
      </c>
      <c r="B22" s="10">
        <f>MAX(0,IF(Production!B25=":",0,Production!B25)+IF(Import!B25=":",0,Import!B25)-IF(Export!B25=":",0,Export!B25))</f>
        <v>5758343</v>
      </c>
      <c r="C22" s="10">
        <f>MAX(0,IF(Production!C25=":",0,Production!C25)+IF(Import!C25=":",0,Import!C25)-IF(Export!C25=":",0,Export!C25))</f>
        <v>4312647</v>
      </c>
      <c r="D22" s="10">
        <f>MAX(0,IF(Production!D25=":",0,Production!D25)+IF(Import!D25=":",0,Import!D25)-IF(Export!D25=":",0,Export!D25))</f>
        <v>1693083</v>
      </c>
      <c r="E22" s="10">
        <f>MAX(0,IF(Production!E25=":",0,Production!E25)+IF(Import!E25=":",0,Import!E25)-IF(Export!E25=":",0,Export!E25))</f>
        <v>1051222</v>
      </c>
      <c r="F22" s="10">
        <f>MAX(0,IF(Production!F25=":",0,Production!F25)+IF(Import!F25=":",0,Import!F25)-IF(Export!F25=":",0,Export!F25))</f>
        <v>1332720</v>
      </c>
      <c r="G22" s="10">
        <f>MAX(0,IF(Production!G25=":",0,Production!G25)+IF(Import!G25=":",0,Import!G25)-IF(Export!G25=":",0,Export!G25))</f>
        <v>1196504</v>
      </c>
      <c r="H22" s="10">
        <f>MAX(0,IF(Production!H25=":",0,Production!H25)+IF(Import!H25=":",0,Import!H25)-IF(Export!H25=":",0,Export!H25))</f>
        <v>1157235</v>
      </c>
      <c r="I22" s="10">
        <f>MAX(0,IF(Production!I25=":",0,Production!I25)+IF(Import!I25=":",0,Import!I25)-IF(Export!I25=":",0,Export!I25))</f>
        <v>1333426</v>
      </c>
      <c r="J22" s="10">
        <f>MAX(0,IF(Production!J25=":",0,Production!J25)+IF(Import!J25=":",0,Import!J25)-IF(Export!J25=":",0,Export!J25))</f>
        <v>1484272</v>
      </c>
      <c r="K22" s="10">
        <f>MAX(0,IF(Production!K25=":",0,Production!K25)+IF(Import!K25=":",0,Import!K25)-IF(Export!K25=":",0,Export!K25))</f>
        <v>1619325</v>
      </c>
      <c r="L22" s="10">
        <f>MAX(0,IF(Production!L25=":",0,Production!L25)+IF(Import!L25=":",0,Import!L25)-IF(Export!L25=":",0,Export!L25))</f>
        <v>1505644</v>
      </c>
    </row>
    <row r="23" spans="1:12" ht="14.5" x14ac:dyDescent="0.35">
      <c r="A23" s="8" t="s">
        <v>110</v>
      </c>
      <c r="B23" s="10">
        <f>MAX(0,IF(Production!B26=":",0,Production!B26)+IF(Import!B26=":",0,Import!B26)-IF(Export!B26=":",0,Export!B26))</f>
        <v>78431900</v>
      </c>
      <c r="C23" s="10">
        <f>MAX(0,IF(Production!C26=":",0,Production!C26)+IF(Import!C26=":",0,Import!C26)-IF(Export!C26=":",0,Export!C26))</f>
        <v>93370000</v>
      </c>
      <c r="D23" s="10">
        <f>MAX(0,IF(Production!D26=":",0,Production!D26)+IF(Import!D26=":",0,Import!D26)-IF(Export!D26=":",0,Export!D26))</f>
        <v>89504000</v>
      </c>
      <c r="E23" s="10">
        <f>MAX(0,IF(Production!E26=":",0,Production!E26)+IF(Import!E26=":",0,Import!E26)-IF(Export!E26=":",0,Export!E26))</f>
        <v>100171300</v>
      </c>
      <c r="F23" s="10">
        <f>MAX(0,IF(Production!F26=":",0,Production!F26)+IF(Import!F26=":",0,Import!F26)-IF(Export!F26=":",0,Export!F26))</f>
        <v>111822900</v>
      </c>
      <c r="G23" s="10">
        <f>MAX(0,IF(Production!G26=":",0,Production!G26)+IF(Import!G26=":",0,Import!G26)-IF(Export!G26=":",0,Export!G26))</f>
        <v>112989600</v>
      </c>
      <c r="H23" s="10">
        <f>MAX(0,IF(Production!H26=":",0,Production!H26)+IF(Import!H26=":",0,Import!H26)-IF(Export!H26=":",0,Export!H26))</f>
        <v>100261584</v>
      </c>
      <c r="I23" s="10">
        <f>MAX(0,IF(Production!I26=":",0,Production!I26)+IF(Import!I26=":",0,Import!I26)-IF(Export!I26=":",0,Export!I26))</f>
        <v>110578889</v>
      </c>
      <c r="J23" s="10">
        <f>MAX(0,IF(Production!J26=":",0,Production!J26)+IF(Import!J26=":",0,Import!J26)-IF(Export!J26=":",0,Export!J26))</f>
        <v>69653948</v>
      </c>
      <c r="K23" s="10">
        <f>MAX(0,IF(Production!K26=":",0,Production!K26)+IF(Import!K26=":",0,Import!K26)-IF(Export!K26=":",0,Export!K26))</f>
        <v>90174981</v>
      </c>
      <c r="L23" s="10">
        <f>MAX(0,IF(Production!L26=":",0,Production!L26)+IF(Import!L26=":",0,Import!L26)-IF(Export!L26=":",0,Export!L26))</f>
        <v>97501856</v>
      </c>
    </row>
    <row r="24" spans="1:12" ht="14.5" x14ac:dyDescent="0.35">
      <c r="A24" s="8" t="s">
        <v>111</v>
      </c>
      <c r="B24" s="10">
        <f>MAX(0,IF(Production!B27=":",0,Production!B27)+IF(Import!B27=":",0,Import!B27)-IF(Export!B27=":",0,Export!B27))</f>
        <v>25899600</v>
      </c>
      <c r="C24" s="10">
        <f>MAX(0,IF(Production!C27=":",0,Production!C27)+IF(Import!C27=":",0,Import!C27)-IF(Export!C27=":",0,Export!C27))</f>
        <v>23704200</v>
      </c>
      <c r="D24" s="10">
        <f>MAX(0,IF(Production!D27=":",0,Production!D27)+IF(Import!D27=":",0,Import!D27)-IF(Export!D27=":",0,Export!D27))</f>
        <v>29386900</v>
      </c>
      <c r="E24" s="10">
        <f>MAX(0,IF(Production!E27=":",0,Production!E27)+IF(Import!E27=":",0,Import!E27)-IF(Export!E27=":",0,Export!E27))</f>
        <v>26964200</v>
      </c>
      <c r="F24" s="10">
        <f>MAX(0,IF(Production!F27=":",0,Production!F27)+IF(Import!F27=":",0,Import!F27)-IF(Export!F27=":",0,Export!F27))</f>
        <v>28801600</v>
      </c>
      <c r="G24" s="10">
        <f>MAX(0,IF(Production!G27=":",0,Production!G27)+IF(Import!G27=":",0,Import!G27)-IF(Export!G27=":",0,Export!G27))</f>
        <v>37739700</v>
      </c>
      <c r="H24" s="10">
        <f>MAX(0,IF(Production!H27=":",0,Production!H27)+IF(Import!H27=":",0,Import!H27)-IF(Export!H27=":",0,Export!H27))</f>
        <v>36592853</v>
      </c>
      <c r="I24" s="10">
        <f>MAX(0,IF(Production!I27=":",0,Production!I27)+IF(Import!I27=":",0,Import!I27)-IF(Export!I27=":",0,Export!I27))</f>
        <v>33432890</v>
      </c>
      <c r="J24" s="10">
        <f>MAX(0,IF(Production!J27=":",0,Production!J27)+IF(Import!J27=":",0,Import!J27)-IF(Export!J27=":",0,Export!J27))</f>
        <v>38285361</v>
      </c>
      <c r="K24" s="10">
        <f>MAX(0,IF(Production!K27=":",0,Production!K27)+IF(Import!K27=":",0,Import!K27)-IF(Export!K27=":",0,Export!K27))</f>
        <v>35526954</v>
      </c>
      <c r="L24" s="10">
        <f>MAX(0,IF(Production!L27=":",0,Production!L27)+IF(Import!L27=":",0,Import!L27)-IF(Export!L27=":",0,Export!L27))</f>
        <v>42112162</v>
      </c>
    </row>
    <row r="25" spans="1:12" ht="14.5" x14ac:dyDescent="0.35">
      <c r="A25" s="8" t="s">
        <v>112</v>
      </c>
      <c r="B25" s="10">
        <f>MAX(0,IF(Production!B28=":",0,Production!B28)+IF(Import!B28=":",0,Import!B28)-IF(Export!B28=":",0,Export!B28))</f>
        <v>541940600</v>
      </c>
      <c r="C25" s="10">
        <f>MAX(0,IF(Production!C28=":",0,Production!C28)+IF(Import!C28=":",0,Import!C28)-IF(Export!C28=":",0,Export!C28))</f>
        <v>491064600</v>
      </c>
      <c r="D25" s="10">
        <f>MAX(0,IF(Production!D28=":",0,Production!D28)+IF(Import!D28=":",0,Import!D28)-IF(Export!D28=":",0,Export!D28))</f>
        <v>499552900</v>
      </c>
      <c r="E25" s="10">
        <f>MAX(0,IF(Production!E28=":",0,Production!E28)+IF(Import!E28=":",0,Import!E28)-IF(Export!E28=":",0,Export!E28))</f>
        <v>572983400</v>
      </c>
      <c r="F25" s="10">
        <f>MAX(0,IF(Production!F28=":",0,Production!F28)+IF(Import!F28=":",0,Import!F28)-IF(Export!F28=":",0,Export!F28))</f>
        <v>578273700</v>
      </c>
      <c r="G25" s="10">
        <f>MAX(0,IF(Production!G28=":",0,Production!G28)+IF(Import!G28=":",0,Import!G28)-IF(Export!G28=":",0,Export!G28))</f>
        <v>520089900</v>
      </c>
      <c r="H25" s="10">
        <f>MAX(0,IF(Production!H28=":",0,Production!H28)+IF(Import!H28=":",0,Import!H28)-IF(Export!H28=":",0,Export!H28))</f>
        <v>435969959</v>
      </c>
      <c r="I25" s="10">
        <f>MAX(0,IF(Production!I28=":",0,Production!I28)+IF(Import!I28=":",0,Import!I28)-IF(Export!I28=":",0,Export!I28))</f>
        <v>503507702</v>
      </c>
      <c r="J25" s="10">
        <f>MAX(0,IF(Production!J28=":",0,Production!J28)+IF(Import!J28=":",0,Import!J28)-IF(Export!J28=":",0,Export!J28))</f>
        <v>480468837</v>
      </c>
      <c r="K25" s="10">
        <f>MAX(0,IF(Production!K28=":",0,Production!K28)+IF(Import!K28=":",0,Import!K28)-IF(Export!K28=":",0,Export!K28))</f>
        <v>401125575</v>
      </c>
      <c r="L25" s="10">
        <f>MAX(0,IF(Production!L28=":",0,Production!L28)+IF(Import!L28=":",0,Import!L28)-IF(Export!L28=":",0,Export!L28))</f>
        <v>375348722</v>
      </c>
    </row>
    <row r="26" spans="1:12" ht="14.5" x14ac:dyDescent="0.35">
      <c r="A26" s="8" t="s">
        <v>113</v>
      </c>
      <c r="B26" s="10">
        <f>MAX(0,IF(Production!B29=":",0,Production!B29)+IF(Import!B29=":",0,Import!B29)-IF(Export!B29=":",0,Export!B29))</f>
        <v>59616500</v>
      </c>
      <c r="C26" s="10">
        <f>MAX(0,IF(Production!C29=":",0,Production!C29)+IF(Import!C29=":",0,Import!C29)-IF(Export!C29=":",0,Export!C29))</f>
        <v>61428300</v>
      </c>
      <c r="D26" s="10">
        <f>MAX(0,IF(Production!D29=":",0,Production!D29)+IF(Import!D29=":",0,Import!D29)-IF(Export!D29=":",0,Export!D29))</f>
        <v>60297200</v>
      </c>
      <c r="E26" s="10">
        <f>MAX(0,IF(Production!E29=":",0,Production!E29)+IF(Import!E29=":",0,Import!E29)-IF(Export!E29=":",0,Export!E29))</f>
        <v>65468000</v>
      </c>
      <c r="F26" s="10">
        <f>MAX(0,IF(Production!F29=":",0,Production!F29)+IF(Import!F29=":",0,Import!F29)-IF(Export!F29=":",0,Export!F29))</f>
        <v>76039900</v>
      </c>
      <c r="G26" s="10">
        <f>MAX(0,IF(Production!G29=":",0,Production!G29)+IF(Import!G29=":",0,Import!G29)-IF(Export!G29=":",0,Export!G29))</f>
        <v>74378800</v>
      </c>
      <c r="H26" s="10">
        <f>MAX(0,IF(Production!H29=":",0,Production!H29)+IF(Import!H29=":",0,Import!H29)-IF(Export!H29=":",0,Export!H29))</f>
        <v>64211765</v>
      </c>
      <c r="I26" s="10">
        <f>MAX(0,IF(Production!I29=":",0,Production!I29)+IF(Import!I29=":",0,Import!I29)-IF(Export!I29=":",0,Export!I29))</f>
        <v>78901925</v>
      </c>
      <c r="J26" s="10">
        <f>MAX(0,IF(Production!J29=":",0,Production!J29)+IF(Import!J29=":",0,Import!J29)-IF(Export!J29=":",0,Export!J29))</f>
        <v>70812771</v>
      </c>
      <c r="K26" s="10">
        <f>MAX(0,IF(Production!K29=":",0,Production!K29)+IF(Import!K29=":",0,Import!K29)-IF(Export!K29=":",0,Export!K29))</f>
        <v>55894623</v>
      </c>
      <c r="L26" s="10">
        <f>MAX(0,IF(Production!L29=":",0,Production!L29)+IF(Import!L29=":",0,Import!L29)-IF(Export!L29=":",0,Export!L29))</f>
        <v>67436226</v>
      </c>
    </row>
    <row r="27" spans="1:12" ht="14.5" x14ac:dyDescent="0.35">
      <c r="A27" s="8" t="s">
        <v>114</v>
      </c>
      <c r="B27" s="10">
        <f>MAX(0,IF(Production!B30=":",0,Production!B30)+IF(Import!B30=":",0,Import!B30)-IF(Export!B30=":",0,Export!B30))</f>
        <v>0</v>
      </c>
      <c r="C27" s="10">
        <f>MAX(0,IF(Production!C30=":",0,Production!C30)+IF(Import!C30=":",0,Import!C30)-IF(Export!C30=":",0,Export!C30))</f>
        <v>0</v>
      </c>
      <c r="D27" s="10">
        <f>MAX(0,IF(Production!D30=":",0,Production!D30)+IF(Import!D30=":",0,Import!D30)-IF(Export!D30=":",0,Export!D30))</f>
        <v>0</v>
      </c>
      <c r="E27" s="10">
        <f>MAX(0,IF(Production!E30=":",0,Production!E30)+IF(Import!E30=":",0,Import!E30)-IF(Export!E30=":",0,Export!E30))</f>
        <v>0</v>
      </c>
      <c r="F27" s="10">
        <f>MAX(0,IF(Production!F30=":",0,Production!F30)+IF(Import!F30=":",0,Import!F30)-IF(Export!F30=":",0,Export!F30))</f>
        <v>0</v>
      </c>
      <c r="G27" s="10">
        <f>MAX(0,IF(Production!G30=":",0,Production!G30)+IF(Import!G30=":",0,Import!G30)-IF(Export!G30=":",0,Export!G30))</f>
        <v>0</v>
      </c>
      <c r="H27" s="10">
        <f>MAX(0,IF(Production!H30=":",0,Production!H30)+IF(Import!H30=":",0,Import!H30)-IF(Export!H30=":",0,Export!H30))</f>
        <v>0</v>
      </c>
      <c r="I27" s="10">
        <f>MAX(0,IF(Production!I30=":",0,Production!I30)+IF(Import!I30=":",0,Import!I30)-IF(Export!I30=":",0,Export!I30))</f>
        <v>0</v>
      </c>
      <c r="J27" s="10">
        <f>MAX(0,IF(Production!J30=":",0,Production!J30)+IF(Import!J30=":",0,Import!J30)-IF(Export!J30=":",0,Export!J30))</f>
        <v>0</v>
      </c>
      <c r="K27" s="10">
        <f>MAX(0,IF(Production!K30=":",0,Production!K30)+IF(Import!K30=":",0,Import!K30)-IF(Export!K30=":",0,Export!K30))</f>
        <v>0</v>
      </c>
      <c r="L27" s="10">
        <f>MAX(0,IF(Production!L30=":",0,Production!L30)+IF(Import!L30=":",0,Import!L30)-IF(Export!L30=":",0,Export!L30))</f>
        <v>0</v>
      </c>
    </row>
    <row r="28" spans="1:12" ht="14.5" x14ac:dyDescent="0.35">
      <c r="A28" s="8" t="s">
        <v>115</v>
      </c>
      <c r="B28" s="10">
        <f>MAX(0,IF(Production!B31=":",0,Production!B31)+IF(Import!B31=":",0,Import!B31)-IF(Export!B31=":",0,Export!B31))</f>
        <v>9523600</v>
      </c>
      <c r="C28" s="10">
        <f>MAX(0,IF(Production!C31=":",0,Production!C31)+IF(Import!C31=":",0,Import!C31)-IF(Export!C31=":",0,Export!C31))</f>
        <v>13758600</v>
      </c>
      <c r="D28" s="10">
        <f>MAX(0,IF(Production!D31=":",0,Production!D31)+IF(Import!D31=":",0,Import!D31)-IF(Export!D31=":",0,Export!D31))</f>
        <v>8796800</v>
      </c>
      <c r="E28" s="10">
        <f>MAX(0,IF(Production!E31=":",0,Production!E31)+IF(Import!E31=":",0,Import!E31)-IF(Export!E31=":",0,Export!E31))</f>
        <v>11829600</v>
      </c>
      <c r="F28" s="10">
        <f>MAX(0,IF(Production!F31=":",0,Production!F31)+IF(Import!F31=":",0,Import!F31)-IF(Export!F31=":",0,Export!F31))</f>
        <v>20019800</v>
      </c>
      <c r="G28" s="10">
        <f>MAX(0,IF(Production!G31=":",0,Production!G31)+IF(Import!G31=":",0,Import!G31)-IF(Export!G31=":",0,Export!G31))</f>
        <v>20268600</v>
      </c>
      <c r="H28" s="10">
        <f>MAX(0,IF(Production!H31=":",0,Production!H31)+IF(Import!H31=":",0,Import!H31)-IF(Export!H31=":",0,Export!H31))</f>
        <v>11855230</v>
      </c>
      <c r="I28" s="10">
        <f>MAX(0,IF(Production!I31=":",0,Production!I31)+IF(Import!I31=":",0,Import!I31)-IF(Export!I31=":",0,Export!I31))</f>
        <v>9289863</v>
      </c>
      <c r="J28" s="10">
        <f>MAX(0,IF(Production!J31=":",0,Production!J31)+IF(Import!J31=":",0,Import!J31)-IF(Export!J31=":",0,Export!J31))</f>
        <v>7960791</v>
      </c>
      <c r="K28" s="10">
        <f>MAX(0,IF(Production!K31=":",0,Production!K31)+IF(Import!K31=":",0,Import!K31)-IF(Export!K31=":",0,Export!K31))</f>
        <v>5595340</v>
      </c>
      <c r="L28" s="10">
        <f>MAX(0,IF(Production!L31=":",0,Production!L31)+IF(Import!L31=":",0,Import!L31)-IF(Export!L31=":",0,Export!L31))</f>
        <v>15690192</v>
      </c>
    </row>
    <row r="29" spans="1:12" ht="14.5" x14ac:dyDescent="0.35">
      <c r="A29" s="8" t="s">
        <v>116</v>
      </c>
      <c r="B29" s="10">
        <f>MAX(0,IF(Production!B32=":",0,Production!B32)+IF(Import!B32=":",0,Import!B32)-IF(Export!B32=":",0,Export!B32))</f>
        <v>0</v>
      </c>
      <c r="C29" s="10">
        <f>MAX(0,IF(Production!C32=":",0,Production!C32)+IF(Import!C32=":",0,Import!C32)-IF(Export!C32=":",0,Export!C32))</f>
        <v>0</v>
      </c>
      <c r="D29" s="10">
        <f>MAX(0,IF(Production!D32=":",0,Production!D32)+IF(Import!D32=":",0,Import!D32)-IF(Export!D32=":",0,Export!D32))</f>
        <v>0</v>
      </c>
      <c r="E29" s="10">
        <f>MAX(0,IF(Production!E32=":",0,Production!E32)+IF(Import!E32=":",0,Import!E32)-IF(Export!E32=":",0,Export!E32))</f>
        <v>0</v>
      </c>
      <c r="F29" s="10">
        <f>MAX(0,IF(Production!F32=":",0,Production!F32)+IF(Import!F32=":",0,Import!F32)-IF(Export!F32=":",0,Export!F32))</f>
        <v>0</v>
      </c>
      <c r="G29" s="10">
        <f>MAX(0,IF(Production!G32=":",0,Production!G32)+IF(Import!G32=":",0,Import!G32)-IF(Export!G32=":",0,Export!G32))</f>
        <v>0</v>
      </c>
      <c r="H29" s="10">
        <f>MAX(0,IF(Production!H32=":",0,Production!H32)+IF(Import!H32=":",0,Import!H32)-IF(Export!H32=":",0,Export!H32))</f>
        <v>0</v>
      </c>
      <c r="I29" s="10">
        <f>MAX(0,IF(Production!I32=":",0,Production!I32)+IF(Import!I32=":",0,Import!I32)-IF(Export!I32=":",0,Export!I32))</f>
        <v>0</v>
      </c>
      <c r="J29" s="10">
        <f>MAX(0,IF(Production!J32=":",0,Production!J32)+IF(Import!J32=":",0,Import!J32)-IF(Export!J32=":",0,Export!J32))</f>
        <v>0</v>
      </c>
      <c r="K29" s="10">
        <f>MAX(0,IF(Production!K32=":",0,Production!K32)+IF(Import!K32=":",0,Import!K32)-IF(Export!K32=":",0,Export!K32))</f>
        <v>0</v>
      </c>
      <c r="L29" s="10">
        <f>MAX(0,IF(Production!L32=":",0,Production!L32)+IF(Import!L32=":",0,Import!L32)-IF(Export!L32=":",0,Export!L32))</f>
        <v>0</v>
      </c>
    </row>
    <row r="30" spans="1:12" ht="14.5" x14ac:dyDescent="0.35">
      <c r="A30" s="8" t="s">
        <v>117</v>
      </c>
      <c r="B30" s="10">
        <f>MAX(0,IF(Production!B33=":",0,Production!B33)+IF(Import!B33=":",0,Import!B33)-IF(Export!B33=":",0,Export!B33))</f>
        <v>0</v>
      </c>
      <c r="C30" s="10">
        <f>MAX(0,IF(Production!C33=":",0,Production!C33)+IF(Import!C33=":",0,Import!C33)-IF(Export!C33=":",0,Export!C33))</f>
        <v>0</v>
      </c>
      <c r="D30" s="10">
        <f>MAX(0,IF(Production!D33=":",0,Production!D33)+IF(Import!D33=":",0,Import!D33)-IF(Export!D33=":",0,Export!D33))</f>
        <v>0</v>
      </c>
      <c r="E30" s="10">
        <f>MAX(0,IF(Production!E33=":",0,Production!E33)+IF(Import!E33=":",0,Import!E33)-IF(Export!E33=":",0,Export!E33))</f>
        <v>0</v>
      </c>
      <c r="F30" s="10">
        <f>MAX(0,IF(Production!F33=":",0,Production!F33)+IF(Import!F33=":",0,Import!F33)-IF(Export!F33=":",0,Export!F33))</f>
        <v>0</v>
      </c>
      <c r="G30" s="10">
        <f>MAX(0,IF(Production!G33=":",0,Production!G33)+IF(Import!G33=":",0,Import!G33)-IF(Export!G33=":",0,Export!G33))</f>
        <v>0</v>
      </c>
      <c r="H30" s="10">
        <f>MAX(0,IF(Production!H33=":",0,Production!H33)+IF(Import!H33=":",0,Import!H33)-IF(Export!H33=":",0,Export!H33))</f>
        <v>0</v>
      </c>
      <c r="I30" s="10">
        <f>MAX(0,IF(Production!I33=":",0,Production!I33)+IF(Import!I33=":",0,Import!I33)-IF(Export!I33=":",0,Export!I33))</f>
        <v>0</v>
      </c>
      <c r="J30" s="10">
        <f>MAX(0,IF(Production!J33=":",0,Production!J33)+IF(Import!J33=":",0,Import!J33)-IF(Export!J33=":",0,Export!J33))</f>
        <v>0</v>
      </c>
      <c r="K30" s="10">
        <f>MAX(0,IF(Production!K33=":",0,Production!K33)+IF(Import!K33=":",0,Import!K33)-IF(Export!K33=":",0,Export!K33))</f>
        <v>0</v>
      </c>
      <c r="L30" s="10">
        <f>MAX(0,IF(Production!L33=":",0,Production!L33)+IF(Import!L33=":",0,Import!L33)-IF(Export!L33=":",0,Export!L33))</f>
        <v>0</v>
      </c>
    </row>
    <row r="31" spans="1:12" ht="14.5" x14ac:dyDescent="0.35">
      <c r="A31" s="8" t="s">
        <v>118</v>
      </c>
      <c r="B31" s="10">
        <f>MAX(0,IF(Production!B35=":",0,Production!B35)+IF(Import!B35=":",0,Import!B35)-IF(Export!B35=":",0,Export!B35))</f>
        <v>39682200</v>
      </c>
      <c r="C31" s="10">
        <f>MAX(0,IF(Production!C35=":",0,Production!C35)+IF(Import!C35=":",0,Import!C35)-IF(Export!C35=":",0,Export!C35))</f>
        <v>533160900</v>
      </c>
      <c r="D31" s="10">
        <f>MAX(0,IF(Production!D35=":",0,Production!D35)+IF(Import!D35=":",0,Import!D35)-IF(Export!D35=":",0,Export!D35))</f>
        <v>3532400</v>
      </c>
      <c r="E31" s="10">
        <f>MAX(0,IF(Production!E35=":",0,Production!E35)+IF(Import!E35=":",0,Import!E35)-IF(Export!E35=":",0,Export!E35))</f>
        <v>0</v>
      </c>
      <c r="F31" s="10">
        <f>MAX(0,IF(Production!F35=":",0,Production!F35)+IF(Import!F35=":",0,Import!F35)-IF(Export!F35=":",0,Export!F35))</f>
        <v>296004400</v>
      </c>
      <c r="G31" s="10">
        <f>MAX(0,IF(Production!G35=":",0,Production!G35)+IF(Import!G35=":",0,Import!G35)-IF(Export!G35=":",0,Export!G35))</f>
        <v>531569600</v>
      </c>
      <c r="H31" s="10">
        <f>MAX(0,IF(Production!H35=":",0,Production!H35)+IF(Import!H35=":",0,Import!H35)-IF(Export!H35=":",0,Export!H35))</f>
        <v>0</v>
      </c>
      <c r="I31" s="10">
        <f>MAX(0,IF(Production!I35=":",0,Production!I35)+IF(Import!I35=":",0,Import!I35)-IF(Export!I35=":",0,Export!I35))</f>
        <v>510039594</v>
      </c>
      <c r="J31" s="10">
        <f>MAX(0,IF(Production!J35=":",0,Production!J35)+IF(Import!J35=":",0,Import!J35)-IF(Export!J35=":",0,Export!J35))</f>
        <v>936002795</v>
      </c>
      <c r="K31" s="10">
        <f>MAX(0,IF(Production!K35=":",0,Production!K35)+IF(Import!K35=":",0,Import!K35)-IF(Export!K35=":",0,Export!K35))</f>
        <v>1332432377</v>
      </c>
      <c r="L31" s="10">
        <f>MAX(0,IF(Production!L35=":",0,Production!L35)+IF(Import!L35=":",0,Import!L35)-IF(Export!L35=":",0,Export!L35))</f>
        <v>1000512941</v>
      </c>
    </row>
    <row r="32" spans="1:12" ht="14.5" x14ac:dyDescent="0.35">
      <c r="A32" s="8" t="s">
        <v>119</v>
      </c>
      <c r="B32" s="10">
        <f>MAX(0,IF(Production!B36=":",0,Production!B36)+IF(Import!B36=":",0,Import!B36)-IF(Export!B36=":",0,Export!B36))</f>
        <v>0</v>
      </c>
      <c r="C32" s="10">
        <f>MAX(0,IF(Production!C36=":",0,Production!C36)+IF(Import!C36=":",0,Import!C36)-IF(Export!C36=":",0,Export!C36))</f>
        <v>0</v>
      </c>
      <c r="D32" s="10">
        <f>MAX(0,IF(Production!D36=":",0,Production!D36)+IF(Import!D36=":",0,Import!D36)-IF(Export!D36=":",0,Export!D36))</f>
        <v>0</v>
      </c>
      <c r="E32" s="10">
        <f>MAX(0,IF(Production!E36=":",0,Production!E36)+IF(Import!E36=":",0,Import!E36)-IF(Export!E36=":",0,Export!E36))</f>
        <v>0</v>
      </c>
      <c r="F32" s="10">
        <f>MAX(0,IF(Production!F36=":",0,Production!F36)+IF(Import!F36=":",0,Import!F36)-IF(Export!F36=":",0,Export!F36))</f>
        <v>0</v>
      </c>
      <c r="G32" s="10">
        <f>MAX(0,IF(Production!G36=":",0,Production!G36)+IF(Import!G36=":",0,Import!G36)-IF(Export!G36=":",0,Export!G36))</f>
        <v>0</v>
      </c>
      <c r="H32" s="10">
        <f>MAX(0,IF(Production!H36=":",0,Production!H36)+IF(Import!H36=":",0,Import!H36)-IF(Export!H36=":",0,Export!H36))</f>
        <v>0</v>
      </c>
      <c r="I32" s="10">
        <f>MAX(0,IF(Production!I36=":",0,Production!I36)+IF(Import!I36=":",0,Import!I36)-IF(Export!I36=":",0,Export!I36))</f>
        <v>0</v>
      </c>
      <c r="J32" s="10">
        <f>MAX(0,IF(Production!J36=":",0,Production!J36)+IF(Import!J36=":",0,Import!J36)-IF(Export!J36=":",0,Export!J36))</f>
        <v>0</v>
      </c>
      <c r="K32" s="10">
        <f>MAX(0,IF(Production!K36=":",0,Production!K36)+IF(Import!K36=":",0,Import!K36)-IF(Export!K36=":",0,Export!K36))</f>
        <v>0</v>
      </c>
      <c r="L32" s="10">
        <f>MAX(0,IF(Production!L36=":",0,Production!L36)+IF(Import!L36=":",0,Import!L36)-IF(Export!L36=":",0,Export!L36))</f>
        <v>0</v>
      </c>
    </row>
    <row r="33" spans="1:12" ht="14.5" x14ac:dyDescent="0.35">
      <c r="A33" s="8" t="s">
        <v>120</v>
      </c>
      <c r="B33" s="10">
        <f>MAX(0,IF(Production!B37=":",0,Production!B37)+IF(Import!B37=":",0,Import!B37)-IF(Export!B37=":",0,Export!B37))</f>
        <v>314005900</v>
      </c>
      <c r="C33" s="10">
        <f>MAX(0,IF(Production!C37=":",0,Production!C37)+IF(Import!C37=":",0,Import!C37)-IF(Export!C37=":",0,Export!C37))</f>
        <v>368531600</v>
      </c>
      <c r="D33" s="10">
        <f>MAX(0,IF(Production!D37=":",0,Production!D37)+IF(Import!D37=":",0,Import!D37)-IF(Export!D37=":",0,Export!D37))</f>
        <v>378829400</v>
      </c>
      <c r="E33" s="10">
        <f>MAX(0,IF(Production!E37=":",0,Production!E37)+IF(Import!E37=":",0,Import!E37)-IF(Export!E37=":",0,Export!E37))</f>
        <v>545917500</v>
      </c>
      <c r="F33" s="10">
        <f>MAX(0,IF(Production!F37=":",0,Production!F37)+IF(Import!F37=":",0,Import!F37)-IF(Export!F37=":",0,Export!F37))</f>
        <v>564781400</v>
      </c>
      <c r="G33" s="10">
        <f>MAX(0,IF(Production!G37=":",0,Production!G37)+IF(Import!G37=":",0,Import!G37)-IF(Export!G37=":",0,Export!G37))</f>
        <v>510531000</v>
      </c>
      <c r="H33" s="10">
        <f>MAX(0,IF(Production!H37=":",0,Production!H37)+IF(Import!H37=":",0,Import!H37)-IF(Export!H37=":",0,Export!H37))</f>
        <v>451732744</v>
      </c>
      <c r="I33" s="10">
        <f>MAX(0,IF(Production!I37=":",0,Production!I37)+IF(Import!I37=":",0,Import!I37)-IF(Export!I37=":",0,Export!I37))</f>
        <v>503372395</v>
      </c>
      <c r="J33" s="10">
        <f>MAX(0,IF(Production!J37=":",0,Production!J37)+IF(Import!J37=":",0,Import!J37)-IF(Export!J37=":",0,Export!J37))</f>
        <v>484540058</v>
      </c>
      <c r="K33" s="10">
        <f>MAX(0,IF(Production!K37=":",0,Production!K37)+IF(Import!K37=":",0,Import!K37)-IF(Export!K37=":",0,Export!K37))</f>
        <v>373605683</v>
      </c>
      <c r="L33" s="10">
        <f>MAX(0,IF(Production!L37=":",0,Production!L37)+IF(Import!L37=":",0,Import!L37)-IF(Export!L37=":",0,Export!L37))</f>
        <v>449013241</v>
      </c>
    </row>
    <row r="34" spans="1:12" ht="14.5" x14ac:dyDescent="0.35">
      <c r="A34" s="8" t="s">
        <v>126</v>
      </c>
      <c r="B34" s="10">
        <f>MAX(0,IF(Production!B38=":",0,Production!B38)+IF(Import!B38=":",0,Import!B38)-IF(Export!B38=":",0,Export!B38))</f>
        <v>142055600</v>
      </c>
      <c r="C34" s="10">
        <f>MAX(0,IF(Production!C38=":",0,Production!C38)+IF(Import!C38=":",0,Import!C38)-IF(Export!C38=":",0,Export!C38))</f>
        <v>131750900</v>
      </c>
      <c r="D34" s="10">
        <f>MAX(0,IF(Production!D38=":",0,Production!D38)+IF(Import!D38=":",0,Import!D38)-IF(Export!D38=":",0,Export!D38))</f>
        <v>135434000</v>
      </c>
      <c r="E34" s="10">
        <f>MAX(0,IF(Production!E38=":",0,Production!E38)+IF(Import!E38=":",0,Import!E38)-IF(Export!E38=":",0,Export!E38))</f>
        <v>138607500</v>
      </c>
      <c r="F34" s="10">
        <f>MAX(0,IF(Production!F38=":",0,Production!F38)+IF(Import!F38=":",0,Import!F38)-IF(Export!F38=":",0,Export!F38))</f>
        <v>149766600</v>
      </c>
      <c r="G34" s="10">
        <f>MAX(0,IF(Production!G38=":",0,Production!G38)+IF(Import!G38=":",0,Import!G38)-IF(Export!G38=":",0,Export!G38))</f>
        <v>140463200</v>
      </c>
      <c r="H34" s="10">
        <f>MAX(0,IF(Production!H38=":",0,Production!H38)+IF(Import!H38=":",0,Import!H38)-IF(Export!H38=":",0,Export!H38))</f>
        <v>141957493</v>
      </c>
      <c r="I34" s="10">
        <f>MAX(0,IF(Production!I38=":",0,Production!I38)+IF(Import!I38=":",0,Import!I38)-IF(Export!I38=":",0,Export!I38))</f>
        <v>167826587</v>
      </c>
      <c r="J34" s="10">
        <f>MAX(0,IF(Production!J38=":",0,Production!J38)+IF(Import!J38=":",0,Import!J38)-IF(Export!J38=":",0,Export!J38))</f>
        <v>145724817</v>
      </c>
      <c r="K34" s="10">
        <f>MAX(0,IF(Production!K38=":",0,Production!K38)+IF(Import!K38=":",0,Import!K38)-IF(Export!K38=":",0,Export!K38))</f>
        <v>157056336</v>
      </c>
      <c r="L34" s="10">
        <f>MAX(0,IF(Production!L38=":",0,Production!L38)+IF(Import!L38=":",0,Import!L38)-IF(Export!L38=":",0,Export!L38))</f>
        <v>124725463</v>
      </c>
    </row>
    <row r="35" spans="1:12" ht="14.5" x14ac:dyDescent="0.35">
      <c r="A35" s="8" t="s">
        <v>121</v>
      </c>
      <c r="B35" s="10">
        <f>MAX(0,IF(Production!B39=":",0,Production!B39)+IF(Import!B39=":",0,Import!B39)-IF(Export!B39=":",0,Export!B39))</f>
        <v>136899800</v>
      </c>
      <c r="C35" s="10">
        <f>MAX(0,IF(Production!C39=":",0,Production!C39)+IF(Import!C39=":",0,Import!C39)-IF(Export!C39=":",0,Export!C39))</f>
        <v>129601900</v>
      </c>
      <c r="D35" s="10">
        <f>MAX(0,IF(Production!D39=":",0,Production!D39)+IF(Import!D39=":",0,Import!D39)-IF(Export!D39=":",0,Export!D39))</f>
        <v>154294200</v>
      </c>
      <c r="E35" s="10">
        <f>MAX(0,IF(Production!E39=":",0,Production!E39)+IF(Import!E39=":",0,Import!E39)-IF(Export!E39=":",0,Export!E39))</f>
        <v>165867000</v>
      </c>
      <c r="F35" s="10">
        <f>MAX(0,IF(Production!F39=":",0,Production!F39)+IF(Import!F39=":",0,Import!F39)-IF(Export!F39=":",0,Export!F39))</f>
        <v>160452000</v>
      </c>
      <c r="G35" s="10">
        <f>MAX(0,IF(Production!G39=":",0,Production!G39)+IF(Import!G39=":",0,Import!G39)-IF(Export!G39=":",0,Export!G39))</f>
        <v>176406561</v>
      </c>
      <c r="H35" s="10">
        <f>MAX(0,IF(Production!H39=":",0,Production!H39)+IF(Import!H39=":",0,Import!H39)-IF(Export!H39=":",0,Export!H39))</f>
        <v>181218020</v>
      </c>
      <c r="I35" s="10">
        <f>MAX(0,IF(Production!I39=":",0,Production!I39)+IF(Import!I39=":",0,Import!I39)-IF(Export!I39=":",0,Export!I39))</f>
        <v>205061098</v>
      </c>
      <c r="J35" s="10">
        <f>MAX(0,IF(Production!J39=":",0,Production!J39)+IF(Import!J39=":",0,Import!J39)-IF(Export!J39=":",0,Export!J39))</f>
        <v>196558051</v>
      </c>
      <c r="K35" s="10">
        <f>MAX(0,IF(Production!K39=":",0,Production!K39)+IF(Import!K39=":",0,Import!K39)-IF(Export!K39=":",0,Export!K39))</f>
        <v>167021166</v>
      </c>
      <c r="L35" s="10">
        <f>MAX(0,IF(Production!L39=":",0,Production!L39)+IF(Import!L39=":",0,Import!L39)-IF(Export!L39=":",0,Export!L39))</f>
        <v>125623699</v>
      </c>
    </row>
    <row r="36" spans="1:12" ht="14.5" x14ac:dyDescent="0.35">
      <c r="A36" s="8" t="s">
        <v>122</v>
      </c>
      <c r="B36" s="10">
        <f>MAX(0,IF(Production!B40=":",0,Production!B40)+IF(Import!B40=":",0,Import!B40)-IF(Export!B40=":",0,Export!B40))</f>
        <v>186355600</v>
      </c>
      <c r="C36" s="10">
        <f>MAX(0,IF(Production!C40=":",0,Production!C40)+IF(Import!C40=":",0,Import!C40)-IF(Export!C40=":",0,Export!C40))</f>
        <v>198065600</v>
      </c>
      <c r="D36" s="10">
        <f>MAX(0,IF(Production!D40=":",0,Production!D40)+IF(Import!D40=":",0,Import!D40)-IF(Export!D40=":",0,Export!D40))</f>
        <v>174464400</v>
      </c>
      <c r="E36" s="10">
        <f>MAX(0,IF(Production!E40=":",0,Production!E40)+IF(Import!E40=":",0,Import!E40)-IF(Export!E40=":",0,Export!E40))</f>
        <v>200462900</v>
      </c>
      <c r="F36" s="10">
        <f>MAX(0,IF(Production!F40=":",0,Production!F40)+IF(Import!F40=":",0,Import!F40)-IF(Export!F40=":",0,Export!F40))</f>
        <v>209937100</v>
      </c>
      <c r="G36" s="10">
        <f>MAX(0,IF(Production!G40=":",0,Production!G40)+IF(Import!G40=":",0,Import!G40)-IF(Export!G40=":",0,Export!G40))</f>
        <v>219307000</v>
      </c>
      <c r="H36" s="10">
        <f>MAX(0,IF(Production!H40=":",0,Production!H40)+IF(Import!H40=":",0,Import!H40)-IF(Export!H40=":",0,Export!H40))</f>
        <v>197515153</v>
      </c>
      <c r="I36" s="10">
        <f>MAX(0,IF(Production!I40=":",0,Production!I40)+IF(Import!I40=":",0,Import!I40)-IF(Export!I40=":",0,Export!I40))</f>
        <v>198252601</v>
      </c>
      <c r="J36" s="10">
        <f>MAX(0,IF(Production!J40=":",0,Production!J40)+IF(Import!J40=":",0,Import!J40)-IF(Export!J40=":",0,Export!J40))</f>
        <v>141937345</v>
      </c>
      <c r="K36" s="10">
        <f>MAX(0,IF(Production!K40=":",0,Production!K40)+IF(Import!K40=":",0,Import!K40)-IF(Export!K40=":",0,Export!K40))</f>
        <v>129954253</v>
      </c>
      <c r="L36" s="10">
        <f>MAX(0,IF(Production!L40=":",0,Production!L40)+IF(Import!L40=":",0,Import!L40)-IF(Export!L40=":",0,Export!L40))</f>
        <v>76842804</v>
      </c>
    </row>
    <row r="37" spans="1:12" ht="14.5" x14ac:dyDescent="0.35">
      <c r="A37" s="8" t="s">
        <v>123</v>
      </c>
      <c r="B37" s="10">
        <f>MAX(0,IF(Production!B41=":",0,Production!B41)+IF(Import!B41=":",0,Import!B41)-IF(Export!B41=":",0,Export!B41))</f>
        <v>0</v>
      </c>
      <c r="C37" s="10">
        <f>MAX(0,IF(Production!C41=":",0,Production!C41)+IF(Import!C41=":",0,Import!C41)-IF(Export!C41=":",0,Export!C41))</f>
        <v>0</v>
      </c>
      <c r="D37" s="10">
        <f>MAX(0,IF(Production!D41=":",0,Production!D41)+IF(Import!D41=":",0,Import!D41)-IF(Export!D41=":",0,Export!D41))</f>
        <v>0</v>
      </c>
      <c r="E37" s="10">
        <f>MAX(0,IF(Production!E41=":",0,Production!E41)+IF(Import!E41=":",0,Import!E41)-IF(Export!E41=":",0,Export!E41))</f>
        <v>0</v>
      </c>
      <c r="F37" s="10">
        <f>MAX(0,IF(Production!F41=":",0,Production!F41)+IF(Import!F41=":",0,Import!F41)-IF(Export!F41=":",0,Export!F41))</f>
        <v>0</v>
      </c>
      <c r="G37" s="10">
        <f>MAX(0,IF(Production!G41=":",0,Production!G41)+IF(Import!G41=":",0,Import!G41)-IF(Export!G41=":",0,Export!G41))</f>
        <v>0</v>
      </c>
      <c r="H37" s="10">
        <f>MAX(0,IF(Production!H41=":",0,Production!H41)+IF(Import!H41=":",0,Import!H41)-IF(Export!H41=":",0,Export!H41))</f>
        <v>0</v>
      </c>
      <c r="I37" s="10">
        <f>MAX(0,IF(Production!I41=":",0,Production!I41)+IF(Import!I41=":",0,Import!I41)-IF(Export!I41=":",0,Export!I41))</f>
        <v>0</v>
      </c>
      <c r="J37" s="10">
        <f>MAX(0,IF(Production!J41=":",0,Production!J41)+IF(Import!J41=":",0,Import!J41)-IF(Export!J41=":",0,Export!J41))</f>
        <v>0</v>
      </c>
      <c r="K37" s="10">
        <f>MAX(0,IF(Production!K41=":",0,Production!K41)+IF(Import!K41=":",0,Import!K41)-IF(Export!K41=":",0,Export!K41))</f>
        <v>0</v>
      </c>
      <c r="L37" s="10">
        <f>MAX(0,IF(Production!L41=":",0,Production!L41)+IF(Import!L41=":",0,Import!L41)-IF(Export!L41=":",0,Export!L41))</f>
        <v>0</v>
      </c>
    </row>
    <row r="38" spans="1:12" ht="14.5" x14ac:dyDescent="0.35">
      <c r="A38" s="8" t="s">
        <v>124</v>
      </c>
      <c r="B38" s="10">
        <f>MAX(0,IF(Production!B42=":",0,Production!B42)+IF(Import!B42=":",0,Import!B42)-IF(Export!B42=":",0,Export!B42))</f>
        <v>48077400</v>
      </c>
      <c r="C38" s="10">
        <f>MAX(0,IF(Production!C42=":",0,Production!C42)+IF(Import!C42=":",0,Import!C42)-IF(Export!C42=":",0,Export!C42))</f>
        <v>46391800</v>
      </c>
      <c r="D38" s="10">
        <f>MAX(0,IF(Production!D42=":",0,Production!D42)+IF(Import!D42=":",0,Import!D42)-IF(Export!D42=":",0,Export!D42))</f>
        <v>34935800</v>
      </c>
      <c r="E38" s="10">
        <f>MAX(0,IF(Production!E42=":",0,Production!E42)+IF(Import!E42=":",0,Import!E42)-IF(Export!E42=":",0,Export!E42))</f>
        <v>33879300</v>
      </c>
      <c r="F38" s="10">
        <f>MAX(0,IF(Production!F42=":",0,Production!F42)+IF(Import!F42=":",0,Import!F42)-IF(Export!F42=":",0,Export!F42))</f>
        <v>26298300</v>
      </c>
      <c r="G38" s="10">
        <f>MAX(0,IF(Production!G42=":",0,Production!G42)+IF(Import!G42=":",0,Import!G42)-IF(Export!G42=":",0,Export!G42))</f>
        <v>40105200</v>
      </c>
      <c r="H38" s="10">
        <f>MAX(0,IF(Production!H42=":",0,Production!H42)+IF(Import!H42=":",0,Import!H42)-IF(Export!H42=":",0,Export!H42))</f>
        <v>27066106</v>
      </c>
      <c r="I38" s="10">
        <f>MAX(0,IF(Production!I42=":",0,Production!I42)+IF(Import!I42=":",0,Import!I42)-IF(Export!I42=":",0,Export!I42))</f>
        <v>48256601</v>
      </c>
      <c r="J38" s="10">
        <f>MAX(0,IF(Production!J42=":",0,Production!J42)+IF(Import!J42=":",0,Import!J42)-IF(Export!J42=":",0,Export!J42))</f>
        <v>60510583</v>
      </c>
      <c r="K38" s="10">
        <f>MAX(0,IF(Production!K42=":",0,Production!K42)+IF(Import!K42=":",0,Import!K42)-IF(Export!K42=":",0,Export!K42))</f>
        <v>52484118</v>
      </c>
      <c r="L38" s="10">
        <f>MAX(0,IF(Production!L42=":",0,Production!L42)+IF(Import!L42=":",0,Import!L42)-IF(Export!L42=":",0,Export!L42))</f>
        <v>49543190</v>
      </c>
    </row>
    <row r="39" spans="1:12" ht="14.5" x14ac:dyDescent="0.35">
      <c r="A39" s="8" t="s">
        <v>125</v>
      </c>
      <c r="B39" s="10">
        <f>MAX(0,IF(Production!B43=":",0,Production!B43)+IF(Import!B43=":",0,Import!B43)-IF(Export!B43=":",0,Export!B43))</f>
        <v>0</v>
      </c>
      <c r="C39" s="10">
        <f>MAX(0,IF(Production!C43=":",0,Production!C43)+IF(Import!C43=":",0,Import!C43)-IF(Export!C43=":",0,Export!C43))</f>
        <v>0</v>
      </c>
      <c r="D39" s="10">
        <f>MAX(0,IF(Production!D43=":",0,Production!D43)+IF(Import!D43=":",0,Import!D43)-IF(Export!D43=":",0,Export!D43))</f>
        <v>0</v>
      </c>
      <c r="E39" s="10">
        <f>MAX(0,IF(Production!E43=":",0,Production!E43)+IF(Import!E43=":",0,Import!E43)-IF(Export!E43=":",0,Export!E43))</f>
        <v>0</v>
      </c>
      <c r="F39" s="10">
        <f>MAX(0,IF(Production!F43=":",0,Production!F43)+IF(Import!F43=":",0,Import!F43)-IF(Export!F43=":",0,Export!F43))</f>
        <v>0</v>
      </c>
      <c r="G39" s="10">
        <f>MAX(0,IF(Production!G43=":",0,Production!G43)+IF(Import!G43=":",0,Import!G43)-IF(Export!G43=":",0,Export!G43))</f>
        <v>0</v>
      </c>
      <c r="H39" s="10">
        <f>MAX(0,IF(Production!H43=":",0,Production!H43)+IF(Import!H43=":",0,Import!H43)-IF(Export!H43=":",0,Export!H43))</f>
        <v>0</v>
      </c>
      <c r="I39" s="10">
        <f>MAX(0,IF(Production!I43=":",0,Production!I43)+IF(Import!I43=":",0,Import!I43)-IF(Export!I43=":",0,Export!I43))</f>
        <v>0</v>
      </c>
      <c r="J39" s="10">
        <f>MAX(0,IF(Production!J43=":",0,Production!J43)+IF(Import!J43=":",0,Import!J43)-IF(Export!J43=":",0,Export!J43))</f>
        <v>0</v>
      </c>
      <c r="K39" s="10">
        <f>MAX(0,IF(Production!K43=":",0,Production!K43)+IF(Import!K43=":",0,Import!K43)-IF(Export!K43=":",0,Export!K43))</f>
        <v>0</v>
      </c>
      <c r="L39" s="10">
        <f>MAX(0,IF(Production!L43=":",0,Production!L43)+IF(Import!L43=":",0,Import!L43)-IF(Export!L43=":",0,Export!L43))</f>
        <v>0</v>
      </c>
    </row>
    <row r="41" spans="1:12" ht="14.5" x14ac:dyDescent="0.35">
      <c r="A41" s="1" t="s">
        <v>71</v>
      </c>
    </row>
    <row r="42" spans="1:12" ht="14.5" x14ac:dyDescent="0.35">
      <c r="A42" s="1" t="s">
        <v>38</v>
      </c>
      <c r="B42" s="3" t="s">
        <v>72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workbookViewId="0">
      <pane xSplit="1" ySplit="10" topLeftCell="B11" activePane="bottomRight" state="frozen"/>
      <selection pane="topRight"/>
      <selection pane="bottomLeft"/>
      <selection pane="bottomRight" activeCell="A43" sqref="A43:XFD43"/>
    </sheetView>
  </sheetViews>
  <sheetFormatPr baseColWidth="10" defaultColWidth="8.7265625" defaultRowHeight="11.4" customHeight="1" x14ac:dyDescent="0.35"/>
  <cols>
    <col min="1" max="1" width="29.90625" customWidth="1"/>
    <col min="2" max="12" width="10" customWidth="1"/>
  </cols>
  <sheetData>
    <row r="1" spans="1:12" x14ac:dyDescent="0.35">
      <c r="A1" s="3" t="s">
        <v>18</v>
      </c>
    </row>
    <row r="2" spans="1:12" x14ac:dyDescent="0.35">
      <c r="A2" s="2" t="s">
        <v>19</v>
      </c>
      <c r="B2" s="1" t="s">
        <v>0</v>
      </c>
    </row>
    <row r="3" spans="1:12" x14ac:dyDescent="0.35">
      <c r="A3" s="2" t="s">
        <v>20</v>
      </c>
      <c r="B3" s="2" t="s">
        <v>6</v>
      </c>
    </row>
    <row r="5" spans="1:12" x14ac:dyDescent="0.35">
      <c r="A5" s="1" t="s">
        <v>11</v>
      </c>
      <c r="C5" s="2" t="s">
        <v>14</v>
      </c>
    </row>
    <row r="6" spans="1:12" x14ac:dyDescent="0.35">
      <c r="A6" s="1" t="s">
        <v>12</v>
      </c>
      <c r="C6" s="2" t="s">
        <v>15</v>
      </c>
    </row>
    <row r="8" spans="1:12" x14ac:dyDescent="0.35">
      <c r="A8" s="6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</row>
    <row r="9" spans="1:12" x14ac:dyDescent="0.35">
      <c r="A9" s="6" t="s">
        <v>33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</row>
    <row r="10" spans="1:12" x14ac:dyDescent="0.35">
      <c r="A10" s="7" t="s">
        <v>35</v>
      </c>
      <c r="B10" s="9" t="s">
        <v>36</v>
      </c>
      <c r="C10" s="9" t="s">
        <v>36</v>
      </c>
      <c r="D10" s="9" t="s">
        <v>36</v>
      </c>
      <c r="E10" s="9" t="s">
        <v>36</v>
      </c>
      <c r="F10" s="9" t="s">
        <v>36</v>
      </c>
      <c r="G10" s="9" t="s">
        <v>36</v>
      </c>
      <c r="H10" s="9" t="s">
        <v>36</v>
      </c>
      <c r="I10" s="9" t="s">
        <v>36</v>
      </c>
      <c r="J10" s="9" t="s">
        <v>36</v>
      </c>
      <c r="K10" s="9" t="s">
        <v>36</v>
      </c>
      <c r="L10" s="9" t="s">
        <v>36</v>
      </c>
    </row>
    <row r="11" spans="1:12" x14ac:dyDescent="0.35">
      <c r="A11" s="8" t="s">
        <v>37</v>
      </c>
      <c r="B11" s="10" t="s">
        <v>38</v>
      </c>
      <c r="C11" s="10" t="s">
        <v>38</v>
      </c>
      <c r="D11" s="10" t="s">
        <v>38</v>
      </c>
      <c r="E11" s="10" t="s">
        <v>38</v>
      </c>
      <c r="F11" s="10" t="s">
        <v>38</v>
      </c>
      <c r="G11" s="10" t="s">
        <v>38</v>
      </c>
      <c r="H11" s="10" t="s">
        <v>38</v>
      </c>
      <c r="I11" s="10" t="s">
        <v>38</v>
      </c>
      <c r="J11" s="10" t="s">
        <v>38</v>
      </c>
      <c r="K11" s="10">
        <v>0</v>
      </c>
      <c r="L11" s="10">
        <v>0</v>
      </c>
    </row>
    <row r="12" spans="1:12" x14ac:dyDescent="0.35">
      <c r="A12" s="8" t="s">
        <v>39</v>
      </c>
      <c r="B12" s="11">
        <v>0</v>
      </c>
      <c r="C12" s="11" t="s">
        <v>38</v>
      </c>
      <c r="D12" s="11" t="s">
        <v>38</v>
      </c>
      <c r="E12" s="11" t="s">
        <v>38</v>
      </c>
      <c r="F12" s="11">
        <v>0</v>
      </c>
      <c r="G12" s="11">
        <v>0</v>
      </c>
      <c r="H12" s="11">
        <v>0</v>
      </c>
      <c r="I12" s="11" t="s">
        <v>38</v>
      </c>
      <c r="J12" s="11" t="s">
        <v>38</v>
      </c>
      <c r="K12" s="11">
        <v>0</v>
      </c>
      <c r="L12" s="11" t="s">
        <v>38</v>
      </c>
    </row>
    <row r="13" spans="1:12" x14ac:dyDescent="0.35">
      <c r="A13" s="8" t="s">
        <v>40</v>
      </c>
      <c r="B13" s="10">
        <v>0</v>
      </c>
      <c r="C13" s="10">
        <v>0</v>
      </c>
      <c r="D13" s="10" t="s">
        <v>38</v>
      </c>
      <c r="E13" s="10">
        <v>0</v>
      </c>
      <c r="F13" s="10">
        <v>0</v>
      </c>
      <c r="G13" s="10">
        <v>0</v>
      </c>
      <c r="H13" s="10">
        <v>0</v>
      </c>
      <c r="I13" s="10" t="s">
        <v>38</v>
      </c>
      <c r="J13" s="10" t="s">
        <v>38</v>
      </c>
      <c r="K13" s="10">
        <v>0</v>
      </c>
      <c r="L13" s="10">
        <v>0</v>
      </c>
    </row>
    <row r="14" spans="1:12" x14ac:dyDescent="0.35">
      <c r="A14" s="8" t="s">
        <v>41</v>
      </c>
      <c r="B14" s="11">
        <v>3249430</v>
      </c>
      <c r="C14" s="11">
        <v>3794588</v>
      </c>
      <c r="D14" s="11">
        <v>4591449</v>
      </c>
      <c r="E14" s="11" t="s">
        <v>38</v>
      </c>
      <c r="F14" s="11">
        <v>5480067</v>
      </c>
      <c r="G14" s="11" t="s">
        <v>38</v>
      </c>
      <c r="H14" s="11" t="s">
        <v>38</v>
      </c>
      <c r="I14" s="11">
        <v>7565985</v>
      </c>
      <c r="J14" s="11" t="s">
        <v>38</v>
      </c>
      <c r="K14" s="11" t="s">
        <v>38</v>
      </c>
      <c r="L14" s="11" t="s">
        <v>38</v>
      </c>
    </row>
    <row r="15" spans="1:12" x14ac:dyDescent="0.35">
      <c r="A15" s="8" t="s">
        <v>42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 t="s">
        <v>38</v>
      </c>
      <c r="I15" s="10" t="s">
        <v>38</v>
      </c>
      <c r="J15" s="10" t="s">
        <v>38</v>
      </c>
      <c r="K15" s="10">
        <v>0</v>
      </c>
      <c r="L15" s="10">
        <v>0</v>
      </c>
    </row>
    <row r="16" spans="1:12" x14ac:dyDescent="0.35">
      <c r="A16" s="8" t="s">
        <v>43</v>
      </c>
      <c r="B16" s="10" t="s">
        <v>38</v>
      </c>
      <c r="C16" s="10" t="s">
        <v>38</v>
      </c>
      <c r="D16" s="10" t="s">
        <v>38</v>
      </c>
      <c r="E16" s="10" t="s">
        <v>38</v>
      </c>
      <c r="F16" s="10" t="s">
        <v>38</v>
      </c>
      <c r="G16" s="10" t="s">
        <v>38</v>
      </c>
      <c r="H16" s="10" t="s">
        <v>38</v>
      </c>
      <c r="I16" s="10" t="s">
        <v>38</v>
      </c>
      <c r="J16" s="10" t="s">
        <v>38</v>
      </c>
      <c r="K16" s="10" t="s">
        <v>38</v>
      </c>
      <c r="L16" s="10" t="s">
        <v>38</v>
      </c>
    </row>
    <row r="17" spans="1:12" x14ac:dyDescent="0.35">
      <c r="A17" s="8" t="s">
        <v>44</v>
      </c>
      <c r="B17" s="11">
        <v>993429000</v>
      </c>
      <c r="C17" s="11">
        <v>940824000</v>
      </c>
      <c r="D17" s="11">
        <v>1043776000</v>
      </c>
      <c r="E17" s="11">
        <v>1046777000</v>
      </c>
      <c r="F17" s="11">
        <v>1129557000</v>
      </c>
      <c r="G17" s="11">
        <v>1398146000</v>
      </c>
      <c r="H17" s="11">
        <v>1523239000</v>
      </c>
      <c r="I17" s="11">
        <v>1358942000</v>
      </c>
      <c r="J17" s="11">
        <v>1089413000</v>
      </c>
      <c r="K17" s="11" t="s">
        <v>38</v>
      </c>
      <c r="L17" s="11">
        <v>757097000</v>
      </c>
    </row>
    <row r="18" spans="1:12" x14ac:dyDescent="0.35">
      <c r="A18" s="8" t="s">
        <v>45</v>
      </c>
      <c r="B18" s="10">
        <v>75890</v>
      </c>
      <c r="C18" s="10">
        <v>87795</v>
      </c>
      <c r="D18" s="10" t="s">
        <v>38</v>
      </c>
      <c r="E18" s="10">
        <v>203900</v>
      </c>
      <c r="F18" s="10">
        <v>251650</v>
      </c>
      <c r="G18" s="10" t="s">
        <v>38</v>
      </c>
      <c r="H18" s="10" t="s">
        <v>38</v>
      </c>
      <c r="I18" s="10" t="s">
        <v>38</v>
      </c>
      <c r="J18" s="10" t="s">
        <v>38</v>
      </c>
      <c r="K18" s="10" t="s">
        <v>38</v>
      </c>
      <c r="L18" s="10" t="s">
        <v>38</v>
      </c>
    </row>
    <row r="19" spans="1:12" x14ac:dyDescent="0.35">
      <c r="A19" s="8" t="s">
        <v>46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 t="s">
        <v>38</v>
      </c>
      <c r="I19" s="11" t="s">
        <v>38</v>
      </c>
      <c r="J19" s="11" t="s">
        <v>38</v>
      </c>
      <c r="K19" s="11">
        <v>0</v>
      </c>
      <c r="L19" s="11">
        <v>0</v>
      </c>
    </row>
    <row r="20" spans="1:12" x14ac:dyDescent="0.35">
      <c r="A20" s="8" t="s">
        <v>47</v>
      </c>
      <c r="B20" s="10">
        <v>939000</v>
      </c>
      <c r="C20" s="10">
        <v>1248000</v>
      </c>
      <c r="D20" s="10">
        <v>1134000</v>
      </c>
      <c r="E20" s="10">
        <v>920000</v>
      </c>
      <c r="F20" s="10">
        <v>865000</v>
      </c>
      <c r="G20" s="10">
        <v>760000</v>
      </c>
      <c r="H20" s="10">
        <v>1139000</v>
      </c>
      <c r="I20" s="10">
        <v>1155000</v>
      </c>
      <c r="J20" s="10">
        <v>441000</v>
      </c>
      <c r="K20" s="10">
        <v>1008000</v>
      </c>
      <c r="L20" s="10">
        <v>1107000</v>
      </c>
    </row>
    <row r="21" spans="1:12" x14ac:dyDescent="0.35">
      <c r="A21" s="8" t="s">
        <v>48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23677</v>
      </c>
    </row>
    <row r="22" spans="1:12" x14ac:dyDescent="0.35">
      <c r="A22" s="8" t="s">
        <v>49</v>
      </c>
      <c r="B22" s="11" t="s">
        <v>38</v>
      </c>
      <c r="C22" s="11" t="s">
        <v>38</v>
      </c>
      <c r="D22" s="11" t="s">
        <v>38</v>
      </c>
      <c r="E22" s="11">
        <v>14303740</v>
      </c>
      <c r="F22" s="11">
        <v>13637166</v>
      </c>
      <c r="G22" s="11">
        <v>13162753</v>
      </c>
      <c r="H22" s="11">
        <v>10771816</v>
      </c>
      <c r="I22" s="11">
        <v>1908201</v>
      </c>
      <c r="J22" s="11">
        <v>9510126</v>
      </c>
      <c r="K22" s="11">
        <v>7516476</v>
      </c>
      <c r="L22" s="11">
        <v>9426231</v>
      </c>
    </row>
    <row r="23" spans="1:12" x14ac:dyDescent="0.35">
      <c r="A23" s="8" t="s">
        <v>50</v>
      </c>
      <c r="B23" s="10" t="s">
        <v>38</v>
      </c>
      <c r="C23" s="10" t="s">
        <v>38</v>
      </c>
      <c r="D23" s="10" t="s">
        <v>38</v>
      </c>
      <c r="E23" s="10" t="s">
        <v>38</v>
      </c>
      <c r="F23" s="10" t="s">
        <v>38</v>
      </c>
      <c r="G23" s="10" t="s">
        <v>38</v>
      </c>
      <c r="H23" s="10" t="s">
        <v>38</v>
      </c>
      <c r="I23" s="10" t="s">
        <v>38</v>
      </c>
      <c r="J23" s="10" t="s">
        <v>38</v>
      </c>
      <c r="K23" s="10" t="s">
        <v>38</v>
      </c>
      <c r="L23" s="10" t="s">
        <v>38</v>
      </c>
    </row>
    <row r="24" spans="1:12" x14ac:dyDescent="0.35">
      <c r="A24" s="8" t="s">
        <v>51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</row>
    <row r="25" spans="1:12" x14ac:dyDescent="0.35">
      <c r="A25" s="8" t="s">
        <v>52</v>
      </c>
      <c r="B25" s="10">
        <v>943</v>
      </c>
      <c r="C25" s="10">
        <v>947</v>
      </c>
      <c r="D25" s="10">
        <v>883</v>
      </c>
      <c r="E25" s="10">
        <v>722</v>
      </c>
      <c r="F25" s="10">
        <v>1520</v>
      </c>
      <c r="G25" s="10">
        <v>1104</v>
      </c>
      <c r="H25" s="10">
        <v>0</v>
      </c>
      <c r="I25" s="10">
        <v>331</v>
      </c>
      <c r="J25" s="10">
        <v>871</v>
      </c>
      <c r="K25" s="10">
        <v>547</v>
      </c>
      <c r="L25" s="10">
        <v>442</v>
      </c>
    </row>
    <row r="26" spans="1:12" x14ac:dyDescent="0.35">
      <c r="A26" s="8" t="s">
        <v>53</v>
      </c>
      <c r="B26" s="11" t="s">
        <v>38</v>
      </c>
      <c r="C26" s="11">
        <v>263000</v>
      </c>
      <c r="D26" s="11" t="s">
        <v>38</v>
      </c>
      <c r="E26" s="11" t="s">
        <v>38</v>
      </c>
      <c r="F26" s="11">
        <v>103000</v>
      </c>
      <c r="G26" s="11" t="s">
        <v>38</v>
      </c>
      <c r="H26" s="11">
        <v>206000</v>
      </c>
      <c r="I26" s="11" t="s">
        <v>38</v>
      </c>
      <c r="J26" s="11" t="s">
        <v>38</v>
      </c>
      <c r="K26" s="11">
        <v>2000</v>
      </c>
      <c r="L26" s="11">
        <v>11000</v>
      </c>
    </row>
    <row r="27" spans="1:12" x14ac:dyDescent="0.35">
      <c r="A27" s="8" t="s">
        <v>54</v>
      </c>
      <c r="B27" s="10" t="s">
        <v>38</v>
      </c>
      <c r="C27" s="10" t="s">
        <v>38</v>
      </c>
      <c r="D27" s="10" t="s">
        <v>38</v>
      </c>
      <c r="E27" s="10">
        <v>0</v>
      </c>
      <c r="F27" s="10">
        <v>0</v>
      </c>
      <c r="G27" s="10">
        <v>0</v>
      </c>
      <c r="H27" s="10">
        <v>0</v>
      </c>
      <c r="I27" s="10" t="s">
        <v>38</v>
      </c>
      <c r="J27" s="10" t="s">
        <v>38</v>
      </c>
      <c r="K27" s="10">
        <v>0</v>
      </c>
      <c r="L27" s="10">
        <v>0</v>
      </c>
    </row>
    <row r="28" spans="1:12" x14ac:dyDescent="0.35">
      <c r="A28" s="8" t="s">
        <v>55</v>
      </c>
      <c r="B28" s="11" t="s">
        <v>38</v>
      </c>
      <c r="C28" s="11" t="s">
        <v>38</v>
      </c>
      <c r="D28" s="11" t="s">
        <v>38</v>
      </c>
      <c r="E28" s="11" t="s">
        <v>38</v>
      </c>
      <c r="F28" s="11" t="s">
        <v>38</v>
      </c>
      <c r="G28" s="11" t="s">
        <v>38</v>
      </c>
      <c r="H28" s="11" t="s">
        <v>38</v>
      </c>
      <c r="I28" s="11" t="s">
        <v>38</v>
      </c>
      <c r="J28" s="11" t="s">
        <v>38</v>
      </c>
      <c r="K28" s="11" t="s">
        <v>38</v>
      </c>
      <c r="L28" s="11" t="s">
        <v>38</v>
      </c>
    </row>
    <row r="29" spans="1:12" x14ac:dyDescent="0.35">
      <c r="A29" s="8" t="s">
        <v>56</v>
      </c>
      <c r="B29" s="10">
        <v>0</v>
      </c>
      <c r="C29" s="10">
        <v>0</v>
      </c>
      <c r="D29" s="10">
        <v>0</v>
      </c>
      <c r="E29" s="10">
        <v>0</v>
      </c>
      <c r="F29" s="10" t="s">
        <v>38</v>
      </c>
      <c r="G29" s="10">
        <v>0</v>
      </c>
      <c r="H29" s="10">
        <v>0</v>
      </c>
      <c r="I29" s="10" t="s">
        <v>38</v>
      </c>
      <c r="J29" s="10">
        <v>0</v>
      </c>
      <c r="K29" s="10">
        <v>0</v>
      </c>
      <c r="L29" s="10">
        <v>0</v>
      </c>
    </row>
    <row r="30" spans="1:12" x14ac:dyDescent="0.35">
      <c r="A30" s="8" t="s">
        <v>57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</row>
    <row r="31" spans="1:12" x14ac:dyDescent="0.35">
      <c r="A31" s="8" t="s">
        <v>58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 t="s">
        <v>38</v>
      </c>
      <c r="J31" s="10" t="s">
        <v>38</v>
      </c>
      <c r="K31" s="10">
        <v>0</v>
      </c>
      <c r="L31" s="10">
        <v>0</v>
      </c>
    </row>
    <row r="32" spans="1:12" x14ac:dyDescent="0.35">
      <c r="A32" s="8" t="s">
        <v>59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 t="s">
        <v>38</v>
      </c>
      <c r="K32" s="11">
        <v>0</v>
      </c>
      <c r="L32" s="11">
        <v>0</v>
      </c>
    </row>
    <row r="33" spans="1:12" x14ac:dyDescent="0.35">
      <c r="A33" s="8" t="s">
        <v>60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</row>
    <row r="34" spans="1:12" x14ac:dyDescent="0.35">
      <c r="A34" s="8" t="s">
        <v>61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</row>
    <row r="35" spans="1:12" x14ac:dyDescent="0.35">
      <c r="A35" s="8" t="s">
        <v>62</v>
      </c>
      <c r="B35" s="10" t="s">
        <v>38</v>
      </c>
      <c r="C35" s="10" t="s">
        <v>38</v>
      </c>
      <c r="D35" s="10">
        <v>477340000</v>
      </c>
      <c r="E35" s="10" t="s">
        <v>38</v>
      </c>
      <c r="F35" s="10" t="s">
        <v>38</v>
      </c>
      <c r="G35" s="10" t="s">
        <v>38</v>
      </c>
      <c r="H35" s="10" t="s">
        <v>38</v>
      </c>
      <c r="I35" s="10" t="s">
        <v>38</v>
      </c>
      <c r="J35" s="10" t="s">
        <v>38</v>
      </c>
      <c r="K35" s="10" t="s">
        <v>38</v>
      </c>
      <c r="L35" s="10" t="s">
        <v>38</v>
      </c>
    </row>
    <row r="36" spans="1:12" x14ac:dyDescent="0.35">
      <c r="A36" s="8" t="s">
        <v>63</v>
      </c>
      <c r="B36" s="11" t="s">
        <v>38</v>
      </c>
      <c r="C36" s="11" t="s">
        <v>38</v>
      </c>
      <c r="D36" s="11" t="s">
        <v>38</v>
      </c>
      <c r="E36" s="11" t="s">
        <v>38</v>
      </c>
      <c r="F36" s="11" t="s">
        <v>38</v>
      </c>
      <c r="G36" s="11" t="s">
        <v>38</v>
      </c>
      <c r="H36" s="11" t="s">
        <v>38</v>
      </c>
      <c r="I36" s="11" t="s">
        <v>38</v>
      </c>
      <c r="J36" s="11" t="s">
        <v>38</v>
      </c>
      <c r="K36" s="11">
        <v>0</v>
      </c>
      <c r="L36" s="11">
        <v>0</v>
      </c>
    </row>
    <row r="37" spans="1:12" x14ac:dyDescent="0.35">
      <c r="A37" s="8" t="s">
        <v>64</v>
      </c>
      <c r="B37" s="10" t="s">
        <v>38</v>
      </c>
      <c r="C37" s="10" t="s">
        <v>38</v>
      </c>
      <c r="D37" s="10" t="s">
        <v>38</v>
      </c>
      <c r="E37" s="10" t="s">
        <v>38</v>
      </c>
      <c r="F37" s="10" t="s">
        <v>38</v>
      </c>
      <c r="G37" s="10">
        <v>0</v>
      </c>
      <c r="H37" s="10" t="s">
        <v>38</v>
      </c>
      <c r="I37" s="10" t="s">
        <v>38</v>
      </c>
      <c r="J37" s="10" t="s">
        <v>38</v>
      </c>
      <c r="K37" s="10" t="s">
        <v>38</v>
      </c>
      <c r="L37" s="10" t="s">
        <v>38</v>
      </c>
    </row>
    <row r="38" spans="1:12" x14ac:dyDescent="0.35">
      <c r="A38" s="8" t="s">
        <v>65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 t="s">
        <v>38</v>
      </c>
      <c r="J38" s="11" t="s">
        <v>38</v>
      </c>
      <c r="K38" s="11">
        <v>0</v>
      </c>
      <c r="L38" s="11">
        <v>0</v>
      </c>
    </row>
    <row r="39" spans="1:12" x14ac:dyDescent="0.35">
      <c r="A39" s="8" t="s">
        <v>66</v>
      </c>
      <c r="B39" s="10" t="s">
        <v>38</v>
      </c>
      <c r="C39" s="10">
        <v>0</v>
      </c>
      <c r="D39" s="10">
        <v>0</v>
      </c>
      <c r="E39" s="10">
        <v>0</v>
      </c>
      <c r="F39" s="10">
        <v>0</v>
      </c>
      <c r="G39" s="10">
        <v>10061</v>
      </c>
      <c r="H39" s="10" t="s">
        <v>38</v>
      </c>
      <c r="I39" s="10">
        <v>0</v>
      </c>
      <c r="J39" s="10">
        <v>0</v>
      </c>
      <c r="K39" s="10">
        <v>0</v>
      </c>
      <c r="L39" s="10">
        <v>0</v>
      </c>
    </row>
    <row r="40" spans="1:12" x14ac:dyDescent="0.35">
      <c r="A40" s="8" t="s">
        <v>67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3277000</v>
      </c>
      <c r="J40" s="11">
        <v>3019000</v>
      </c>
      <c r="K40" s="11">
        <v>2667000</v>
      </c>
      <c r="L40" s="11" t="s">
        <v>38</v>
      </c>
    </row>
    <row r="41" spans="1:12" x14ac:dyDescent="0.35">
      <c r="A41" s="8" t="s">
        <v>68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</row>
    <row r="42" spans="1:12" x14ac:dyDescent="0.35">
      <c r="A42" s="8" t="s">
        <v>69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</row>
    <row r="43" spans="1:12" x14ac:dyDescent="0.35">
      <c r="A43" s="8" t="s">
        <v>70</v>
      </c>
      <c r="B43" s="10">
        <v>0</v>
      </c>
      <c r="C43" s="10">
        <v>0</v>
      </c>
      <c r="D43" s="10" t="s">
        <v>38</v>
      </c>
      <c r="E43" s="10" t="s">
        <v>38</v>
      </c>
      <c r="F43" s="10" t="s">
        <v>38</v>
      </c>
      <c r="G43" s="10" t="s">
        <v>38</v>
      </c>
      <c r="H43" s="10" t="s">
        <v>38</v>
      </c>
      <c r="I43" s="10" t="s">
        <v>38</v>
      </c>
      <c r="J43" s="10" t="s">
        <v>38</v>
      </c>
      <c r="K43" s="10" t="s">
        <v>38</v>
      </c>
      <c r="L43" s="10" t="s">
        <v>38</v>
      </c>
    </row>
    <row r="45" spans="1:12" x14ac:dyDescent="0.35">
      <c r="A45" s="1" t="s">
        <v>71</v>
      </c>
    </row>
    <row r="46" spans="1:12" x14ac:dyDescent="0.35">
      <c r="A46" s="1" t="s">
        <v>38</v>
      </c>
      <c r="B46" s="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6C9C-43E8-440E-BA87-E4D16E3E1E5F}">
  <dimension ref="A1:L46"/>
  <sheetViews>
    <sheetView topLeftCell="A5" workbookViewId="0">
      <selection activeCell="A43" sqref="A43:XFD43"/>
    </sheetView>
  </sheetViews>
  <sheetFormatPr baseColWidth="10" defaultColWidth="8.7265625" defaultRowHeight="11.4" customHeight="1" x14ac:dyDescent="0.35"/>
  <cols>
    <col min="1" max="1" width="37.453125" customWidth="1"/>
    <col min="2" max="12" width="10" customWidth="1"/>
  </cols>
  <sheetData>
    <row r="1" spans="1:12" ht="14.5" x14ac:dyDescent="0.35">
      <c r="A1" s="3" t="s">
        <v>80</v>
      </c>
    </row>
    <row r="2" spans="1:12" ht="14.5" x14ac:dyDescent="0.35">
      <c r="A2" s="3" t="s">
        <v>19</v>
      </c>
      <c r="B2" s="1" t="s">
        <v>81</v>
      </c>
    </row>
    <row r="3" spans="1:12" ht="14.5" x14ac:dyDescent="0.35">
      <c r="A3" s="3" t="s">
        <v>20</v>
      </c>
      <c r="B3" s="3" t="s">
        <v>82</v>
      </c>
    </row>
    <row r="5" spans="1:12" ht="14.5" x14ac:dyDescent="0.35">
      <c r="A5" s="1" t="s">
        <v>11</v>
      </c>
      <c r="C5" s="3" t="s">
        <v>14</v>
      </c>
    </row>
    <row r="6" spans="1:12" ht="14.5" x14ac:dyDescent="0.35">
      <c r="A6" s="1" t="s">
        <v>12</v>
      </c>
      <c r="C6" s="3" t="s">
        <v>74</v>
      </c>
    </row>
    <row r="8" spans="1:12" ht="14.5" x14ac:dyDescent="0.35">
      <c r="A8" s="6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</row>
    <row r="9" spans="1:12" ht="14.5" x14ac:dyDescent="0.35">
      <c r="A9" s="6" t="s">
        <v>33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</row>
    <row r="10" spans="1:12" ht="14.5" x14ac:dyDescent="0.35">
      <c r="A10" s="7" t="s">
        <v>35</v>
      </c>
      <c r="B10" s="9" t="s">
        <v>36</v>
      </c>
      <c r="C10" s="9" t="s">
        <v>36</v>
      </c>
      <c r="D10" s="9" t="s">
        <v>36</v>
      </c>
      <c r="E10" s="9" t="s">
        <v>36</v>
      </c>
      <c r="F10" s="9" t="s">
        <v>36</v>
      </c>
      <c r="G10" s="9" t="s">
        <v>36</v>
      </c>
      <c r="H10" s="9" t="s">
        <v>36</v>
      </c>
      <c r="I10" s="9" t="s">
        <v>36</v>
      </c>
      <c r="J10" s="9" t="s">
        <v>36</v>
      </c>
      <c r="K10" s="9" t="s">
        <v>36</v>
      </c>
      <c r="L10" s="9" t="s">
        <v>36</v>
      </c>
    </row>
    <row r="11" spans="1:12" ht="14.5" x14ac:dyDescent="0.35">
      <c r="A11" s="8" t="s">
        <v>37</v>
      </c>
      <c r="B11" s="10" t="s">
        <v>38</v>
      </c>
      <c r="C11" s="10" t="s">
        <v>38</v>
      </c>
      <c r="D11" s="10" t="s">
        <v>38</v>
      </c>
      <c r="E11" s="10" t="s">
        <v>38</v>
      </c>
      <c r="F11" s="10" t="s">
        <v>38</v>
      </c>
      <c r="G11" s="10" t="s">
        <v>38</v>
      </c>
      <c r="H11" s="10" t="s">
        <v>38</v>
      </c>
      <c r="I11" s="10" t="s">
        <v>38</v>
      </c>
      <c r="J11" s="10" t="s">
        <v>38</v>
      </c>
      <c r="K11" s="10" t="s">
        <v>38</v>
      </c>
      <c r="L11" s="10" t="s">
        <v>38</v>
      </c>
    </row>
    <row r="12" spans="1:12" ht="14.5" x14ac:dyDescent="0.35">
      <c r="A12" s="8" t="s">
        <v>39</v>
      </c>
      <c r="B12" s="11">
        <v>1358500</v>
      </c>
      <c r="C12" s="11">
        <v>3214400</v>
      </c>
      <c r="D12" s="11">
        <v>1235900</v>
      </c>
      <c r="E12" s="11">
        <v>1627900</v>
      </c>
      <c r="F12" s="11">
        <v>954100</v>
      </c>
      <c r="G12" s="11">
        <v>646700</v>
      </c>
      <c r="H12" s="11">
        <v>3575933</v>
      </c>
      <c r="I12" s="11">
        <v>3901316</v>
      </c>
      <c r="J12" s="11">
        <v>3355351</v>
      </c>
      <c r="K12" s="11">
        <v>2735143</v>
      </c>
      <c r="L12" s="11">
        <v>1446241</v>
      </c>
    </row>
    <row r="13" spans="1:12" ht="14.5" x14ac:dyDescent="0.35">
      <c r="A13" s="8" t="s">
        <v>40</v>
      </c>
      <c r="B13" s="10" t="s">
        <v>38</v>
      </c>
      <c r="C13" s="10" t="s">
        <v>38</v>
      </c>
      <c r="D13" s="10" t="s">
        <v>38</v>
      </c>
      <c r="E13" s="10" t="s">
        <v>38</v>
      </c>
      <c r="F13" s="10" t="s">
        <v>38</v>
      </c>
      <c r="G13" s="10" t="s">
        <v>38</v>
      </c>
      <c r="H13" s="10" t="s">
        <v>38</v>
      </c>
      <c r="I13" s="10" t="s">
        <v>38</v>
      </c>
      <c r="J13" s="10" t="s">
        <v>38</v>
      </c>
      <c r="K13" s="10" t="s">
        <v>38</v>
      </c>
      <c r="L13" s="10" t="s">
        <v>38</v>
      </c>
    </row>
    <row r="14" spans="1:12" ht="14.5" x14ac:dyDescent="0.35">
      <c r="A14" s="8" t="s">
        <v>41</v>
      </c>
      <c r="B14" s="11">
        <v>262437600</v>
      </c>
      <c r="C14" s="11">
        <v>260184900</v>
      </c>
      <c r="D14" s="11">
        <v>261940600</v>
      </c>
      <c r="E14" s="11">
        <v>198470900</v>
      </c>
      <c r="F14" s="11">
        <v>209909800</v>
      </c>
      <c r="G14" s="11">
        <v>220041700</v>
      </c>
      <c r="H14" s="11">
        <v>314030909</v>
      </c>
      <c r="I14" s="11">
        <v>384118153</v>
      </c>
      <c r="J14" s="11">
        <v>355054250</v>
      </c>
      <c r="K14" s="11">
        <v>569969502</v>
      </c>
      <c r="L14" s="11">
        <v>843805292</v>
      </c>
    </row>
    <row r="15" spans="1:12" ht="14.5" x14ac:dyDescent="0.35">
      <c r="A15" s="8" t="s">
        <v>42</v>
      </c>
      <c r="B15" s="10">
        <v>7667200</v>
      </c>
      <c r="C15" s="10">
        <v>5049700</v>
      </c>
      <c r="D15" s="10">
        <v>3036800</v>
      </c>
      <c r="E15" s="10">
        <v>1476600</v>
      </c>
      <c r="F15" s="10">
        <v>700300</v>
      </c>
      <c r="G15" s="10">
        <v>1441600</v>
      </c>
      <c r="H15" s="10">
        <v>1171492</v>
      </c>
      <c r="I15" s="10">
        <v>740852</v>
      </c>
      <c r="J15" s="10">
        <v>396191</v>
      </c>
      <c r="K15" s="10">
        <v>1145378</v>
      </c>
      <c r="L15" s="10">
        <v>1034556</v>
      </c>
    </row>
    <row r="16" spans="1:12" ht="14.5" x14ac:dyDescent="0.35">
      <c r="A16" s="8" t="s">
        <v>43</v>
      </c>
      <c r="B16" s="11">
        <v>1721300</v>
      </c>
      <c r="C16" s="11">
        <v>1259200</v>
      </c>
      <c r="D16" s="11">
        <v>2308800</v>
      </c>
      <c r="E16" s="11">
        <v>3998500</v>
      </c>
      <c r="F16" s="11">
        <v>4041200</v>
      </c>
      <c r="G16" s="11">
        <v>1644900</v>
      </c>
      <c r="H16" s="11">
        <v>787296</v>
      </c>
      <c r="I16" s="11">
        <v>230026</v>
      </c>
      <c r="J16" s="11">
        <v>4299579</v>
      </c>
      <c r="K16" s="11">
        <v>6048040</v>
      </c>
      <c r="L16" s="11">
        <v>7484183</v>
      </c>
    </row>
    <row r="17" spans="1:12" ht="14.5" x14ac:dyDescent="0.35">
      <c r="A17" s="8" t="s">
        <v>44</v>
      </c>
      <c r="B17" s="10">
        <v>319136000</v>
      </c>
      <c r="C17" s="10">
        <v>300648500</v>
      </c>
      <c r="D17" s="10">
        <v>312225100</v>
      </c>
      <c r="E17" s="10">
        <v>255450700</v>
      </c>
      <c r="F17" s="10">
        <v>255533700</v>
      </c>
      <c r="G17" s="10">
        <v>217703100</v>
      </c>
      <c r="H17" s="10">
        <v>267288885</v>
      </c>
      <c r="I17" s="10">
        <v>229290688</v>
      </c>
      <c r="J17" s="10">
        <v>211090192</v>
      </c>
      <c r="K17" s="10">
        <v>183068967</v>
      </c>
      <c r="L17" s="10">
        <v>149405282</v>
      </c>
    </row>
    <row r="18" spans="1:12" ht="14.5" x14ac:dyDescent="0.35">
      <c r="A18" s="8" t="s">
        <v>45</v>
      </c>
      <c r="B18" s="11">
        <v>51200</v>
      </c>
      <c r="C18" s="11">
        <v>585000</v>
      </c>
      <c r="D18" s="11">
        <v>1306400</v>
      </c>
      <c r="E18" s="11">
        <v>887000</v>
      </c>
      <c r="F18" s="11">
        <v>1052700</v>
      </c>
      <c r="G18" s="11">
        <v>1020300</v>
      </c>
      <c r="H18" s="11">
        <v>1139892</v>
      </c>
      <c r="I18" s="11">
        <v>1254477</v>
      </c>
      <c r="J18" s="11">
        <v>3671513</v>
      </c>
      <c r="K18" s="11">
        <v>1573758</v>
      </c>
      <c r="L18" s="11">
        <v>3291327</v>
      </c>
    </row>
    <row r="19" spans="1:12" ht="14.5" x14ac:dyDescent="0.35">
      <c r="A19" s="8" t="s">
        <v>46</v>
      </c>
      <c r="B19" s="10">
        <v>978200</v>
      </c>
      <c r="C19" s="10">
        <v>1594700</v>
      </c>
      <c r="D19" s="10">
        <v>1977800</v>
      </c>
      <c r="E19" s="10">
        <v>2092000</v>
      </c>
      <c r="F19" s="10">
        <v>1733400</v>
      </c>
      <c r="G19" s="10">
        <v>94800</v>
      </c>
      <c r="H19" s="10">
        <v>57988</v>
      </c>
      <c r="I19" s="10">
        <v>727</v>
      </c>
      <c r="J19" s="10">
        <v>1906</v>
      </c>
      <c r="K19" s="10">
        <v>5960657</v>
      </c>
      <c r="L19" s="10">
        <v>213773</v>
      </c>
    </row>
    <row r="20" spans="1:12" ht="14.5" x14ac:dyDescent="0.35">
      <c r="A20" s="8" t="s">
        <v>47</v>
      </c>
      <c r="B20" s="11">
        <v>66319800</v>
      </c>
      <c r="C20" s="11">
        <v>39965900</v>
      </c>
      <c r="D20" s="11">
        <v>53428000</v>
      </c>
      <c r="E20" s="11">
        <v>35833500</v>
      </c>
      <c r="F20" s="11">
        <v>39634400</v>
      </c>
      <c r="G20" s="11">
        <v>42958300</v>
      </c>
      <c r="H20" s="11">
        <v>41075607</v>
      </c>
      <c r="I20" s="11">
        <v>37536532</v>
      </c>
      <c r="J20" s="11">
        <v>48779645</v>
      </c>
      <c r="K20" s="11">
        <v>32356218</v>
      </c>
      <c r="L20" s="11">
        <v>49886279</v>
      </c>
    </row>
    <row r="21" spans="1:12" ht="14.5" x14ac:dyDescent="0.35">
      <c r="A21" s="8" t="s">
        <v>48</v>
      </c>
      <c r="B21" s="11">
        <v>358122900</v>
      </c>
      <c r="C21" s="11">
        <v>277447000</v>
      </c>
      <c r="D21" s="11">
        <v>217893400</v>
      </c>
      <c r="E21" s="11">
        <v>252904100</v>
      </c>
      <c r="F21" s="11">
        <v>180425400</v>
      </c>
      <c r="G21" s="11">
        <v>213490900</v>
      </c>
      <c r="H21" s="11">
        <v>187958281</v>
      </c>
      <c r="I21" s="11">
        <v>142718024</v>
      </c>
      <c r="J21" s="11">
        <v>144397166</v>
      </c>
      <c r="K21" s="11">
        <v>6088121</v>
      </c>
      <c r="L21" s="11">
        <v>5105016</v>
      </c>
    </row>
    <row r="22" spans="1:12" ht="14.5" x14ac:dyDescent="0.35">
      <c r="A22" s="8" t="s">
        <v>49</v>
      </c>
      <c r="B22" s="10">
        <v>22194700</v>
      </c>
      <c r="C22" s="10">
        <v>3380500</v>
      </c>
      <c r="D22" s="10">
        <v>5393600</v>
      </c>
      <c r="E22" s="10">
        <v>6919700</v>
      </c>
      <c r="F22" s="10">
        <v>2964600</v>
      </c>
      <c r="G22" s="10">
        <v>3032600</v>
      </c>
      <c r="H22" s="10">
        <v>2631182</v>
      </c>
      <c r="I22" s="10">
        <v>2731504</v>
      </c>
      <c r="J22" s="10">
        <v>2559616</v>
      </c>
      <c r="K22" s="10">
        <v>1386123</v>
      </c>
      <c r="L22" s="10">
        <v>1671499</v>
      </c>
    </row>
    <row r="23" spans="1:12" ht="14.5" x14ac:dyDescent="0.35">
      <c r="A23" s="8" t="s">
        <v>50</v>
      </c>
      <c r="B23" s="11">
        <v>7268400</v>
      </c>
      <c r="C23" s="11">
        <v>7570300</v>
      </c>
      <c r="D23" s="11">
        <v>7326400</v>
      </c>
      <c r="E23" s="11">
        <v>5971900</v>
      </c>
      <c r="F23" s="11">
        <v>5843800</v>
      </c>
      <c r="G23" s="11">
        <v>6421100</v>
      </c>
      <c r="H23" s="11" t="s">
        <v>38</v>
      </c>
      <c r="I23" s="11" t="s">
        <v>38</v>
      </c>
      <c r="J23" s="11" t="s">
        <v>38</v>
      </c>
      <c r="K23" s="11" t="s">
        <v>38</v>
      </c>
      <c r="L23" s="11" t="s">
        <v>38</v>
      </c>
    </row>
    <row r="24" spans="1:12" ht="14.5" x14ac:dyDescent="0.35">
      <c r="A24" s="8" t="s">
        <v>51</v>
      </c>
      <c r="B24" s="10">
        <v>24300</v>
      </c>
      <c r="C24" s="10">
        <v>100</v>
      </c>
      <c r="D24" s="10">
        <v>1100</v>
      </c>
      <c r="E24" s="10">
        <v>49100</v>
      </c>
      <c r="F24" s="10">
        <v>0</v>
      </c>
      <c r="G24" s="10">
        <v>28300</v>
      </c>
      <c r="H24" s="10">
        <v>975629</v>
      </c>
      <c r="I24" s="10">
        <v>1510</v>
      </c>
      <c r="J24" s="10">
        <v>128</v>
      </c>
      <c r="K24" s="10">
        <v>40672</v>
      </c>
      <c r="L24" s="10">
        <v>48015</v>
      </c>
    </row>
    <row r="25" spans="1:12" ht="14.5" x14ac:dyDescent="0.35">
      <c r="A25" s="8" t="s">
        <v>52</v>
      </c>
      <c r="B25" s="11">
        <v>99900</v>
      </c>
      <c r="C25" s="11">
        <v>80500</v>
      </c>
      <c r="D25" s="11">
        <v>95000</v>
      </c>
      <c r="E25" s="11">
        <v>236000</v>
      </c>
      <c r="F25" s="11">
        <v>38200</v>
      </c>
      <c r="G25" s="11">
        <v>35200</v>
      </c>
      <c r="H25" s="11">
        <v>29908</v>
      </c>
      <c r="I25" s="11">
        <v>21023</v>
      </c>
      <c r="J25" s="11">
        <v>57521</v>
      </c>
      <c r="K25" s="11">
        <v>26457</v>
      </c>
      <c r="L25" s="11">
        <v>8646</v>
      </c>
    </row>
    <row r="26" spans="1:12" ht="14.5" x14ac:dyDescent="0.35">
      <c r="A26" s="8" t="s">
        <v>53</v>
      </c>
      <c r="B26" s="10">
        <v>3597000</v>
      </c>
      <c r="C26" s="10">
        <v>2240200</v>
      </c>
      <c r="D26" s="10">
        <v>2823200</v>
      </c>
      <c r="E26" s="10">
        <v>1026000</v>
      </c>
      <c r="F26" s="10">
        <v>267500</v>
      </c>
      <c r="G26" s="10">
        <v>58700</v>
      </c>
      <c r="H26" s="10">
        <v>201625</v>
      </c>
      <c r="I26" s="10">
        <v>298208</v>
      </c>
      <c r="J26" s="10">
        <v>1047643</v>
      </c>
      <c r="K26" s="10">
        <v>22460</v>
      </c>
      <c r="L26" s="10">
        <v>57078</v>
      </c>
    </row>
    <row r="27" spans="1:12" ht="14.5" x14ac:dyDescent="0.35">
      <c r="A27" s="8" t="s">
        <v>54</v>
      </c>
      <c r="B27" s="11">
        <v>183700</v>
      </c>
      <c r="C27" s="11">
        <v>233800</v>
      </c>
      <c r="D27" s="11">
        <v>142100</v>
      </c>
      <c r="E27" s="11">
        <v>222600</v>
      </c>
      <c r="F27" s="11">
        <v>201500</v>
      </c>
      <c r="G27" s="11">
        <v>244500</v>
      </c>
      <c r="H27" s="11">
        <v>28543</v>
      </c>
      <c r="I27" s="11">
        <v>10220</v>
      </c>
      <c r="J27" s="11">
        <v>45139</v>
      </c>
      <c r="K27" s="11">
        <v>57547</v>
      </c>
      <c r="L27" s="11">
        <v>70033</v>
      </c>
    </row>
    <row r="28" spans="1:12" ht="14.5" x14ac:dyDescent="0.35">
      <c r="A28" s="8" t="s">
        <v>55</v>
      </c>
      <c r="B28" s="11">
        <v>11673900</v>
      </c>
      <c r="C28" s="11">
        <v>47478800</v>
      </c>
      <c r="D28" s="11">
        <v>49420800</v>
      </c>
      <c r="E28" s="11">
        <v>50422700</v>
      </c>
      <c r="F28" s="11">
        <v>13894800</v>
      </c>
      <c r="G28" s="11">
        <v>5827000</v>
      </c>
      <c r="H28" s="11">
        <v>5273145</v>
      </c>
      <c r="I28" s="11">
        <v>7074129</v>
      </c>
      <c r="J28" s="11">
        <v>11726863</v>
      </c>
      <c r="K28" s="11">
        <v>19226194</v>
      </c>
      <c r="L28" s="11">
        <v>13433637</v>
      </c>
    </row>
    <row r="29" spans="1:12" ht="14.5" x14ac:dyDescent="0.35">
      <c r="A29" s="8" t="s">
        <v>56</v>
      </c>
      <c r="B29" s="10">
        <v>2256900</v>
      </c>
      <c r="C29" s="10">
        <v>745700</v>
      </c>
      <c r="D29" s="10">
        <v>2163600</v>
      </c>
      <c r="E29" s="10">
        <v>12548100</v>
      </c>
      <c r="F29" s="10">
        <v>20784000</v>
      </c>
      <c r="G29" s="10">
        <v>45304900</v>
      </c>
      <c r="H29" s="10">
        <v>25573540</v>
      </c>
      <c r="I29" s="10">
        <v>24003537</v>
      </c>
      <c r="J29" s="10">
        <v>14812411</v>
      </c>
      <c r="K29" s="10">
        <v>20768017</v>
      </c>
      <c r="L29" s="10">
        <v>28024446</v>
      </c>
    </row>
    <row r="30" spans="1:12" ht="14.5" x14ac:dyDescent="0.35">
      <c r="A30" s="8" t="s">
        <v>57</v>
      </c>
      <c r="B30" s="11">
        <v>10945200</v>
      </c>
      <c r="C30" s="11">
        <v>12601100</v>
      </c>
      <c r="D30" s="11">
        <v>11149500</v>
      </c>
      <c r="E30" s="11">
        <v>11197100</v>
      </c>
      <c r="F30" s="11">
        <v>10628000</v>
      </c>
      <c r="G30" s="11">
        <v>9580800</v>
      </c>
      <c r="H30" s="11">
        <v>9587181</v>
      </c>
      <c r="I30" s="11">
        <v>11513455</v>
      </c>
      <c r="J30" s="11">
        <v>11629766</v>
      </c>
      <c r="K30" s="11">
        <v>2795331</v>
      </c>
      <c r="L30" s="11">
        <v>2873468</v>
      </c>
    </row>
    <row r="31" spans="1:12" ht="14.5" x14ac:dyDescent="0.35">
      <c r="A31" s="8" t="s">
        <v>58</v>
      </c>
      <c r="B31" s="10">
        <v>8588000</v>
      </c>
      <c r="C31" s="10">
        <v>15032700</v>
      </c>
      <c r="D31" s="10">
        <v>21177400</v>
      </c>
      <c r="E31" s="10">
        <v>353500</v>
      </c>
      <c r="F31" s="10">
        <v>200</v>
      </c>
      <c r="G31" s="10">
        <v>118000</v>
      </c>
      <c r="H31" s="10">
        <v>171742</v>
      </c>
      <c r="I31" s="10">
        <v>197755</v>
      </c>
      <c r="J31" s="10">
        <v>6501087</v>
      </c>
      <c r="K31" s="10">
        <v>849269</v>
      </c>
      <c r="L31" s="10">
        <v>1614827</v>
      </c>
    </row>
    <row r="32" spans="1:12" ht="14.5" x14ac:dyDescent="0.35">
      <c r="A32" s="8" t="s">
        <v>59</v>
      </c>
      <c r="B32" s="11" t="s">
        <v>38</v>
      </c>
      <c r="C32" s="11" t="s">
        <v>38</v>
      </c>
      <c r="D32" s="11" t="s">
        <v>38</v>
      </c>
      <c r="E32" s="11" t="s">
        <v>38</v>
      </c>
      <c r="F32" s="11" t="s">
        <v>38</v>
      </c>
      <c r="G32" s="11" t="s">
        <v>38</v>
      </c>
      <c r="H32" s="11" t="s">
        <v>38</v>
      </c>
      <c r="I32" s="11" t="s">
        <v>38</v>
      </c>
      <c r="J32" s="11" t="s">
        <v>38</v>
      </c>
      <c r="K32" s="11" t="s">
        <v>38</v>
      </c>
      <c r="L32" s="11" t="s">
        <v>38</v>
      </c>
    </row>
    <row r="33" spans="1:12" ht="14.5" x14ac:dyDescent="0.35">
      <c r="A33" s="8" t="s">
        <v>60</v>
      </c>
      <c r="B33" s="10" t="s">
        <v>38</v>
      </c>
      <c r="C33" s="10" t="s">
        <v>38</v>
      </c>
      <c r="D33" s="10" t="s">
        <v>38</v>
      </c>
      <c r="E33" s="10" t="s">
        <v>38</v>
      </c>
      <c r="F33" s="10" t="s">
        <v>38</v>
      </c>
      <c r="G33" s="10" t="s">
        <v>38</v>
      </c>
      <c r="H33" s="10" t="s">
        <v>38</v>
      </c>
      <c r="I33" s="10" t="s">
        <v>38</v>
      </c>
      <c r="J33" s="10" t="s">
        <v>38</v>
      </c>
      <c r="K33" s="10" t="s">
        <v>38</v>
      </c>
      <c r="L33" s="10" t="s">
        <v>38</v>
      </c>
    </row>
    <row r="34" spans="1:12" ht="14.5" x14ac:dyDescent="0.35">
      <c r="A34" s="8" t="s">
        <v>61</v>
      </c>
      <c r="B34" s="11">
        <v>0</v>
      </c>
      <c r="C34" s="11">
        <v>0</v>
      </c>
      <c r="D34" s="11">
        <v>16900</v>
      </c>
      <c r="E34" s="11">
        <v>0</v>
      </c>
      <c r="F34" s="11">
        <v>0</v>
      </c>
      <c r="G34" s="11">
        <v>0</v>
      </c>
      <c r="H34" s="11">
        <v>51</v>
      </c>
      <c r="I34" s="11">
        <v>1</v>
      </c>
      <c r="J34" s="11">
        <v>35</v>
      </c>
      <c r="K34" s="11">
        <v>260</v>
      </c>
      <c r="L34" s="11">
        <v>1</v>
      </c>
    </row>
    <row r="35" spans="1:12" ht="14.5" x14ac:dyDescent="0.35">
      <c r="A35" s="8" t="s">
        <v>62</v>
      </c>
      <c r="B35" s="10">
        <v>2570708900</v>
      </c>
      <c r="C35" s="10">
        <v>1935579800</v>
      </c>
      <c r="D35" s="10">
        <v>2129621400</v>
      </c>
      <c r="E35" s="10">
        <v>2284572200</v>
      </c>
      <c r="F35" s="10">
        <v>2178139600</v>
      </c>
      <c r="G35" s="10">
        <v>2214482600</v>
      </c>
      <c r="H35" s="10">
        <v>2042910673</v>
      </c>
      <c r="I35" s="10">
        <v>2041737390</v>
      </c>
      <c r="J35" s="10">
        <v>1507444093</v>
      </c>
      <c r="K35" s="10">
        <v>1890085397</v>
      </c>
      <c r="L35" s="10">
        <v>2539049504</v>
      </c>
    </row>
    <row r="36" spans="1:12" ht="14.5" x14ac:dyDescent="0.35">
      <c r="A36" s="8" t="s">
        <v>63</v>
      </c>
      <c r="B36" s="11" t="s">
        <v>38</v>
      </c>
      <c r="C36" s="11" t="s">
        <v>38</v>
      </c>
      <c r="D36" s="11" t="s">
        <v>38</v>
      </c>
      <c r="E36" s="11" t="s">
        <v>38</v>
      </c>
      <c r="F36" s="11" t="s">
        <v>38</v>
      </c>
      <c r="G36" s="11" t="s">
        <v>38</v>
      </c>
      <c r="H36" s="11" t="s">
        <v>38</v>
      </c>
      <c r="I36" s="11" t="s">
        <v>38</v>
      </c>
      <c r="J36" s="11" t="s">
        <v>38</v>
      </c>
      <c r="K36" s="11" t="s">
        <v>38</v>
      </c>
      <c r="L36" s="11" t="s">
        <v>38</v>
      </c>
    </row>
    <row r="37" spans="1:12" ht="14.5" x14ac:dyDescent="0.35">
      <c r="A37" s="8" t="s">
        <v>64</v>
      </c>
      <c r="B37" s="10">
        <v>67342300</v>
      </c>
      <c r="C37" s="10">
        <v>79224400</v>
      </c>
      <c r="D37" s="10">
        <v>82369500</v>
      </c>
      <c r="E37" s="10">
        <v>98980400</v>
      </c>
      <c r="F37" s="10">
        <v>184032000</v>
      </c>
      <c r="G37" s="10">
        <v>143782300</v>
      </c>
      <c r="H37" s="10">
        <v>225723934</v>
      </c>
      <c r="I37" s="10">
        <v>192468594</v>
      </c>
      <c r="J37" s="10">
        <v>457455936</v>
      </c>
      <c r="K37" s="10">
        <v>264046966</v>
      </c>
      <c r="L37" s="10">
        <v>215770273</v>
      </c>
    </row>
    <row r="38" spans="1:12" ht="14.5" x14ac:dyDescent="0.35">
      <c r="A38" s="8" t="s">
        <v>65</v>
      </c>
      <c r="B38" s="11">
        <v>3253200</v>
      </c>
      <c r="C38" s="11">
        <v>6787500</v>
      </c>
      <c r="D38" s="11">
        <v>12864200</v>
      </c>
      <c r="E38" s="11">
        <v>15608000</v>
      </c>
      <c r="F38" s="11">
        <v>16558400</v>
      </c>
      <c r="G38" s="11">
        <v>16184800</v>
      </c>
      <c r="H38" s="11">
        <v>17092775</v>
      </c>
      <c r="I38" s="11">
        <v>16861434</v>
      </c>
      <c r="J38" s="11">
        <v>14897773</v>
      </c>
      <c r="K38" s="11">
        <v>8884275</v>
      </c>
      <c r="L38" s="11">
        <v>9902775</v>
      </c>
    </row>
    <row r="39" spans="1:12" ht="14.5" x14ac:dyDescent="0.35">
      <c r="A39" s="8" t="s">
        <v>66</v>
      </c>
      <c r="B39" s="10">
        <v>9766500</v>
      </c>
      <c r="C39" s="10">
        <v>9548400</v>
      </c>
      <c r="D39" s="10">
        <v>1143400</v>
      </c>
      <c r="E39" s="10">
        <v>4476800</v>
      </c>
      <c r="F39" s="10">
        <v>2647200</v>
      </c>
      <c r="G39" s="10">
        <v>19268100</v>
      </c>
      <c r="H39" s="10">
        <v>23771061</v>
      </c>
      <c r="I39" s="10">
        <v>25938091</v>
      </c>
      <c r="J39" s="10">
        <v>43248576</v>
      </c>
      <c r="K39" s="10">
        <v>53622344</v>
      </c>
      <c r="L39" s="10">
        <v>59264845</v>
      </c>
    </row>
    <row r="40" spans="1:12" ht="14.5" x14ac:dyDescent="0.35">
      <c r="A40" s="8" t="s">
        <v>67</v>
      </c>
      <c r="B40" s="11">
        <v>451900</v>
      </c>
      <c r="C40" s="11">
        <v>195900</v>
      </c>
      <c r="D40" s="11">
        <v>966100</v>
      </c>
      <c r="E40" s="11">
        <v>5783000</v>
      </c>
      <c r="F40" s="11">
        <v>2007400</v>
      </c>
      <c r="G40" s="11">
        <v>1883900</v>
      </c>
      <c r="H40" s="11">
        <v>2386543</v>
      </c>
      <c r="I40" s="11">
        <v>2752210</v>
      </c>
      <c r="J40" s="11">
        <v>3368104</v>
      </c>
      <c r="K40" s="11">
        <v>2850735</v>
      </c>
      <c r="L40" s="11">
        <v>4029751</v>
      </c>
    </row>
    <row r="41" spans="1:12" ht="14.5" x14ac:dyDescent="0.35">
      <c r="A41" s="8" t="s">
        <v>68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</row>
    <row r="42" spans="1:12" ht="14.5" x14ac:dyDescent="0.35">
      <c r="A42" s="8" t="s">
        <v>69</v>
      </c>
      <c r="B42" s="11">
        <v>71804300</v>
      </c>
      <c r="C42" s="11">
        <v>69661000</v>
      </c>
      <c r="D42" s="11">
        <v>77952600</v>
      </c>
      <c r="E42" s="11">
        <v>66740600</v>
      </c>
      <c r="F42" s="11">
        <v>79926000</v>
      </c>
      <c r="G42" s="11">
        <v>58717200</v>
      </c>
      <c r="H42" s="11">
        <v>76245520</v>
      </c>
      <c r="I42" s="11">
        <v>74385010</v>
      </c>
      <c r="J42" s="11">
        <v>14044682</v>
      </c>
      <c r="K42" s="11">
        <v>27893</v>
      </c>
      <c r="L42" s="11">
        <v>2222</v>
      </c>
    </row>
    <row r="43" spans="1:12" ht="14.5" x14ac:dyDescent="0.35">
      <c r="A43" s="8" t="s">
        <v>70</v>
      </c>
      <c r="B43" s="10" t="s">
        <v>38</v>
      </c>
      <c r="C43" s="10" t="s">
        <v>38</v>
      </c>
      <c r="D43" s="10" t="s">
        <v>38</v>
      </c>
      <c r="E43" s="10" t="s">
        <v>38</v>
      </c>
      <c r="F43" s="10" t="s">
        <v>38</v>
      </c>
      <c r="G43" s="10" t="s">
        <v>38</v>
      </c>
      <c r="H43" s="10" t="s">
        <v>38</v>
      </c>
      <c r="I43" s="10" t="s">
        <v>38</v>
      </c>
      <c r="J43" s="10" t="s">
        <v>38</v>
      </c>
      <c r="K43" s="10" t="s">
        <v>38</v>
      </c>
      <c r="L43" s="10" t="s">
        <v>38</v>
      </c>
    </row>
    <row r="45" spans="1:12" ht="14.5" x14ac:dyDescent="0.35">
      <c r="A45" s="1" t="s">
        <v>71</v>
      </c>
    </row>
    <row r="46" spans="1:12" ht="14.5" x14ac:dyDescent="0.35">
      <c r="A46" s="1" t="s">
        <v>38</v>
      </c>
      <c r="B46" s="3" t="s">
        <v>72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7727-B39F-405A-8D6B-D51FC569B149}">
  <dimension ref="A1:L46"/>
  <sheetViews>
    <sheetView topLeftCell="A4" workbookViewId="0">
      <selection activeCell="A43" sqref="A43:XFD43"/>
    </sheetView>
  </sheetViews>
  <sheetFormatPr baseColWidth="10" defaultColWidth="8.7265625" defaultRowHeight="11.4" customHeight="1" x14ac:dyDescent="0.35"/>
  <cols>
    <col min="1" max="1" width="29.90625" customWidth="1"/>
    <col min="2" max="12" width="10" customWidth="1"/>
  </cols>
  <sheetData>
    <row r="1" spans="1:12" ht="14.5" x14ac:dyDescent="0.35">
      <c r="A1" s="3" t="s">
        <v>80</v>
      </c>
    </row>
    <row r="2" spans="1:12" ht="14.5" x14ac:dyDescent="0.35">
      <c r="A2" s="3" t="s">
        <v>19</v>
      </c>
      <c r="B2" s="1" t="s">
        <v>81</v>
      </c>
    </row>
    <row r="3" spans="1:12" ht="14.5" x14ac:dyDescent="0.35">
      <c r="A3" s="3" t="s">
        <v>20</v>
      </c>
      <c r="B3" s="3" t="s">
        <v>82</v>
      </c>
    </row>
    <row r="5" spans="1:12" ht="14.5" x14ac:dyDescent="0.35">
      <c r="A5" s="1" t="s">
        <v>11</v>
      </c>
      <c r="C5" s="3" t="s">
        <v>14</v>
      </c>
    </row>
    <row r="6" spans="1:12" ht="14.5" x14ac:dyDescent="0.35">
      <c r="A6" s="1" t="s">
        <v>12</v>
      </c>
      <c r="C6" s="3" t="s">
        <v>76</v>
      </c>
    </row>
    <row r="8" spans="1:12" ht="14.5" x14ac:dyDescent="0.35">
      <c r="A8" s="6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</row>
    <row r="9" spans="1:12" ht="14.5" x14ac:dyDescent="0.35">
      <c r="A9" s="6" t="s">
        <v>33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</row>
    <row r="10" spans="1:12" ht="14.5" x14ac:dyDescent="0.35">
      <c r="A10" s="7" t="s">
        <v>35</v>
      </c>
      <c r="B10" s="9" t="s">
        <v>36</v>
      </c>
      <c r="C10" s="9" t="s">
        <v>36</v>
      </c>
      <c r="D10" s="9" t="s">
        <v>36</v>
      </c>
      <c r="E10" s="9" t="s">
        <v>36</v>
      </c>
      <c r="F10" s="9" t="s">
        <v>36</v>
      </c>
      <c r="G10" s="9" t="s">
        <v>36</v>
      </c>
      <c r="H10" s="9" t="s">
        <v>36</v>
      </c>
      <c r="I10" s="9" t="s">
        <v>36</v>
      </c>
      <c r="J10" s="9" t="s">
        <v>36</v>
      </c>
      <c r="K10" s="9" t="s">
        <v>36</v>
      </c>
      <c r="L10" s="9" t="s">
        <v>36</v>
      </c>
    </row>
    <row r="11" spans="1:12" ht="14.5" x14ac:dyDescent="0.35">
      <c r="A11" s="8" t="s">
        <v>37</v>
      </c>
      <c r="B11" s="10" t="s">
        <v>38</v>
      </c>
      <c r="C11" s="10" t="s">
        <v>38</v>
      </c>
      <c r="D11" s="10" t="s">
        <v>38</v>
      </c>
      <c r="E11" s="10" t="s">
        <v>38</v>
      </c>
      <c r="F11" s="10" t="s">
        <v>38</v>
      </c>
      <c r="G11" s="10" t="s">
        <v>38</v>
      </c>
      <c r="H11" s="10" t="s">
        <v>38</v>
      </c>
      <c r="I11" s="10" t="s">
        <v>38</v>
      </c>
      <c r="J11" s="10" t="s">
        <v>38</v>
      </c>
      <c r="K11" s="10" t="s">
        <v>38</v>
      </c>
      <c r="L11" s="10" t="s">
        <v>38</v>
      </c>
    </row>
    <row r="12" spans="1:12" ht="14.5" x14ac:dyDescent="0.35">
      <c r="A12" s="8" t="s">
        <v>39</v>
      </c>
      <c r="B12" s="11">
        <v>189732700</v>
      </c>
      <c r="C12" s="11">
        <v>233185800</v>
      </c>
      <c r="D12" s="11">
        <v>258784300</v>
      </c>
      <c r="E12" s="11">
        <v>228127000</v>
      </c>
      <c r="F12" s="11">
        <v>254029200</v>
      </c>
      <c r="G12" s="11">
        <v>231239600</v>
      </c>
      <c r="H12" s="11">
        <v>206718140</v>
      </c>
      <c r="I12" s="11">
        <v>279470205</v>
      </c>
      <c r="J12" s="11">
        <v>215753076</v>
      </c>
      <c r="K12" s="11">
        <v>168448111</v>
      </c>
      <c r="L12" s="11">
        <v>140182588</v>
      </c>
    </row>
    <row r="13" spans="1:12" ht="14.5" x14ac:dyDescent="0.35">
      <c r="A13" s="8" t="s">
        <v>40</v>
      </c>
      <c r="B13" s="10" t="s">
        <v>38</v>
      </c>
      <c r="C13" s="10" t="s">
        <v>38</v>
      </c>
      <c r="D13" s="10" t="s">
        <v>38</v>
      </c>
      <c r="E13" s="10" t="s">
        <v>38</v>
      </c>
      <c r="F13" s="10" t="s">
        <v>38</v>
      </c>
      <c r="G13" s="10" t="s">
        <v>38</v>
      </c>
      <c r="H13" s="10" t="s">
        <v>38</v>
      </c>
      <c r="I13" s="10" t="s">
        <v>38</v>
      </c>
      <c r="J13" s="10" t="s">
        <v>38</v>
      </c>
      <c r="K13" s="10" t="s">
        <v>38</v>
      </c>
      <c r="L13" s="10" t="s">
        <v>38</v>
      </c>
    </row>
    <row r="14" spans="1:12" ht="14.5" x14ac:dyDescent="0.35">
      <c r="A14" s="8" t="s">
        <v>41</v>
      </c>
      <c r="B14" s="11">
        <v>814461800</v>
      </c>
      <c r="C14" s="11">
        <v>744444400</v>
      </c>
      <c r="D14" s="11">
        <v>791006000</v>
      </c>
      <c r="E14" s="11">
        <v>737025500</v>
      </c>
      <c r="F14" s="11">
        <v>798206800</v>
      </c>
      <c r="G14" s="11">
        <v>733706500</v>
      </c>
      <c r="H14" s="11">
        <v>866398402</v>
      </c>
      <c r="I14" s="11">
        <v>1067945015</v>
      </c>
      <c r="J14" s="11">
        <v>974040511</v>
      </c>
      <c r="K14" s="11">
        <v>1092585707</v>
      </c>
      <c r="L14" s="11">
        <v>1336222776</v>
      </c>
    </row>
    <row r="15" spans="1:12" ht="14.5" x14ac:dyDescent="0.35">
      <c r="A15" s="8" t="s">
        <v>42</v>
      </c>
      <c r="B15" s="10">
        <v>33982300</v>
      </c>
      <c r="C15" s="10">
        <v>34621200</v>
      </c>
      <c r="D15" s="10">
        <v>29178500</v>
      </c>
      <c r="E15" s="10">
        <v>26222100</v>
      </c>
      <c r="F15" s="10">
        <v>38601500</v>
      </c>
      <c r="G15" s="10">
        <v>42722700</v>
      </c>
      <c r="H15" s="10">
        <v>37638717</v>
      </c>
      <c r="I15" s="10">
        <v>39398723</v>
      </c>
      <c r="J15" s="10">
        <v>59933402</v>
      </c>
      <c r="K15" s="10">
        <v>53012760</v>
      </c>
      <c r="L15" s="10">
        <v>67087599</v>
      </c>
    </row>
    <row r="16" spans="1:12" ht="14.5" x14ac:dyDescent="0.35">
      <c r="A16" s="8" t="s">
        <v>43</v>
      </c>
      <c r="B16" s="11">
        <v>99782100</v>
      </c>
      <c r="C16" s="11">
        <v>91319900</v>
      </c>
      <c r="D16" s="11">
        <v>89648500</v>
      </c>
      <c r="E16" s="11">
        <v>96881600</v>
      </c>
      <c r="F16" s="11">
        <v>85964200</v>
      </c>
      <c r="G16" s="11">
        <v>80282500</v>
      </c>
      <c r="H16" s="11">
        <v>90292522</v>
      </c>
      <c r="I16" s="11">
        <v>95935927</v>
      </c>
      <c r="J16" s="11">
        <v>79204416</v>
      </c>
      <c r="K16" s="11">
        <v>76565047</v>
      </c>
      <c r="L16" s="11">
        <v>66142746</v>
      </c>
    </row>
    <row r="17" spans="1:12" ht="14.5" x14ac:dyDescent="0.35">
      <c r="A17" s="8" t="s">
        <v>44</v>
      </c>
      <c r="B17" s="10">
        <v>1579646600</v>
      </c>
      <c r="C17" s="10">
        <v>1339842300</v>
      </c>
      <c r="D17" s="10">
        <v>1321741200</v>
      </c>
      <c r="E17" s="10">
        <v>1537484600</v>
      </c>
      <c r="F17" s="10">
        <v>1468253900</v>
      </c>
      <c r="G17" s="10">
        <v>1380302800</v>
      </c>
      <c r="H17" s="10">
        <v>1332111200</v>
      </c>
      <c r="I17" s="10">
        <v>1600749338</v>
      </c>
      <c r="J17" s="10">
        <v>1496840003</v>
      </c>
      <c r="K17" s="10">
        <v>1710712533</v>
      </c>
      <c r="L17" s="10">
        <v>1964266241</v>
      </c>
    </row>
    <row r="18" spans="1:12" ht="14.5" x14ac:dyDescent="0.35">
      <c r="A18" s="8" t="s">
        <v>45</v>
      </c>
      <c r="B18" s="11">
        <v>33231100</v>
      </c>
      <c r="C18" s="11">
        <v>56279200</v>
      </c>
      <c r="D18" s="11">
        <v>55676800</v>
      </c>
      <c r="E18" s="11">
        <v>69744400</v>
      </c>
      <c r="F18" s="11">
        <v>68854600</v>
      </c>
      <c r="G18" s="11">
        <v>50270100</v>
      </c>
      <c r="H18" s="11">
        <v>55517923</v>
      </c>
      <c r="I18" s="11">
        <v>52379301</v>
      </c>
      <c r="J18" s="11">
        <v>43538990</v>
      </c>
      <c r="K18" s="11">
        <v>40007251</v>
      </c>
      <c r="L18" s="11">
        <v>26006423</v>
      </c>
    </row>
    <row r="19" spans="1:12" ht="14.5" x14ac:dyDescent="0.35">
      <c r="A19" s="8" t="s">
        <v>46</v>
      </c>
      <c r="B19" s="10">
        <v>4494700</v>
      </c>
      <c r="C19" s="10">
        <v>5089900</v>
      </c>
      <c r="D19" s="10">
        <v>6872600</v>
      </c>
      <c r="E19" s="10">
        <v>6882600</v>
      </c>
      <c r="F19" s="10">
        <v>4810700</v>
      </c>
      <c r="G19" s="10">
        <v>3896800</v>
      </c>
      <c r="H19" s="10">
        <v>2396927</v>
      </c>
      <c r="I19" s="10">
        <v>3634671</v>
      </c>
      <c r="J19" s="10">
        <v>9865020</v>
      </c>
      <c r="K19" s="10">
        <v>11828890</v>
      </c>
      <c r="L19" s="10">
        <v>2786428</v>
      </c>
    </row>
    <row r="20" spans="1:12" ht="14.5" x14ac:dyDescent="0.35">
      <c r="A20" s="8" t="s">
        <v>47</v>
      </c>
      <c r="B20" s="11">
        <v>530487300</v>
      </c>
      <c r="C20" s="11">
        <v>527023200</v>
      </c>
      <c r="D20" s="11">
        <v>544876800</v>
      </c>
      <c r="E20" s="11">
        <v>651506500</v>
      </c>
      <c r="F20" s="11">
        <v>660466000</v>
      </c>
      <c r="G20" s="11">
        <v>677697700</v>
      </c>
      <c r="H20" s="11">
        <v>620202980</v>
      </c>
      <c r="I20" s="11">
        <v>618902880</v>
      </c>
      <c r="J20" s="11">
        <v>594028850</v>
      </c>
      <c r="K20" s="11">
        <v>484455158</v>
      </c>
      <c r="L20" s="11">
        <v>495578760</v>
      </c>
    </row>
    <row r="21" spans="1:12" ht="14.5" x14ac:dyDescent="0.35">
      <c r="A21" s="8" t="s">
        <v>48</v>
      </c>
      <c r="B21" s="11">
        <v>493241500</v>
      </c>
      <c r="C21" s="11">
        <v>419218700</v>
      </c>
      <c r="D21" s="11">
        <v>368530600</v>
      </c>
      <c r="E21" s="11">
        <v>385341000</v>
      </c>
      <c r="F21" s="11">
        <v>300522000</v>
      </c>
      <c r="G21" s="11">
        <v>358501200</v>
      </c>
      <c r="H21" s="11">
        <v>297886955</v>
      </c>
      <c r="I21" s="11">
        <v>262862000</v>
      </c>
      <c r="J21" s="11">
        <v>253618840</v>
      </c>
      <c r="K21" s="11">
        <v>74920610</v>
      </c>
      <c r="L21" s="11">
        <v>44695775</v>
      </c>
    </row>
    <row r="22" spans="1:12" ht="14.5" x14ac:dyDescent="0.35">
      <c r="A22" s="8" t="s">
        <v>49</v>
      </c>
      <c r="B22" s="10">
        <v>665317400</v>
      </c>
      <c r="C22" s="10">
        <v>642174100</v>
      </c>
      <c r="D22" s="10">
        <v>626168200</v>
      </c>
      <c r="E22" s="10">
        <v>625555000</v>
      </c>
      <c r="F22" s="10">
        <v>669655000</v>
      </c>
      <c r="G22" s="10">
        <v>621287900</v>
      </c>
      <c r="H22" s="10">
        <v>578450241</v>
      </c>
      <c r="I22" s="10">
        <v>581102696</v>
      </c>
      <c r="J22" s="10">
        <v>576113848</v>
      </c>
      <c r="K22" s="10">
        <v>534973280</v>
      </c>
      <c r="L22" s="10">
        <v>641787153</v>
      </c>
    </row>
    <row r="23" spans="1:12" ht="14.5" x14ac:dyDescent="0.35">
      <c r="A23" s="8" t="s">
        <v>50</v>
      </c>
      <c r="B23" s="11">
        <v>860187300</v>
      </c>
      <c r="C23" s="11">
        <v>931216900</v>
      </c>
      <c r="D23" s="11">
        <v>938241700</v>
      </c>
      <c r="E23" s="11">
        <v>859566500</v>
      </c>
      <c r="F23" s="11">
        <v>874217800</v>
      </c>
      <c r="G23" s="11">
        <v>649893400</v>
      </c>
      <c r="H23" s="11" t="s">
        <v>38</v>
      </c>
      <c r="I23" s="11" t="s">
        <v>38</v>
      </c>
      <c r="J23" s="11" t="s">
        <v>38</v>
      </c>
      <c r="K23" s="11" t="s">
        <v>38</v>
      </c>
      <c r="L23" s="11" t="s">
        <v>38</v>
      </c>
    </row>
    <row r="24" spans="1:12" ht="14.5" x14ac:dyDescent="0.35">
      <c r="A24" s="8" t="s">
        <v>51</v>
      </c>
      <c r="B24" s="10">
        <v>99767600</v>
      </c>
      <c r="C24" s="10">
        <v>88415300</v>
      </c>
      <c r="D24" s="10">
        <v>170383100</v>
      </c>
      <c r="E24" s="10">
        <v>190313400</v>
      </c>
      <c r="F24" s="10">
        <v>169280500</v>
      </c>
      <c r="G24" s="10">
        <v>151373200</v>
      </c>
      <c r="H24" s="10">
        <v>36953294</v>
      </c>
      <c r="I24" s="10">
        <v>38764580</v>
      </c>
      <c r="J24" s="10">
        <v>40203192</v>
      </c>
      <c r="K24" s="10">
        <v>40313207</v>
      </c>
      <c r="L24" s="10">
        <v>43889258</v>
      </c>
    </row>
    <row r="25" spans="1:12" ht="14.5" x14ac:dyDescent="0.35">
      <c r="A25" s="8" t="s">
        <v>52</v>
      </c>
      <c r="B25" s="11">
        <v>5857300</v>
      </c>
      <c r="C25" s="11">
        <v>4392200</v>
      </c>
      <c r="D25" s="11">
        <v>1787200</v>
      </c>
      <c r="E25" s="11">
        <v>1286500</v>
      </c>
      <c r="F25" s="11">
        <v>1369400</v>
      </c>
      <c r="G25" s="11">
        <v>1230600</v>
      </c>
      <c r="H25" s="11">
        <v>1187143</v>
      </c>
      <c r="I25" s="11">
        <v>1354118</v>
      </c>
      <c r="J25" s="11">
        <v>1540922</v>
      </c>
      <c r="K25" s="11">
        <v>1645235</v>
      </c>
      <c r="L25" s="11">
        <v>1513848</v>
      </c>
    </row>
    <row r="26" spans="1:12" ht="14.5" x14ac:dyDescent="0.35">
      <c r="A26" s="8" t="s">
        <v>53</v>
      </c>
      <c r="B26" s="10">
        <v>82028900</v>
      </c>
      <c r="C26" s="10">
        <v>95347200</v>
      </c>
      <c r="D26" s="10">
        <v>92327200</v>
      </c>
      <c r="E26" s="10">
        <v>101197300</v>
      </c>
      <c r="F26" s="10">
        <v>111987400</v>
      </c>
      <c r="G26" s="10">
        <v>113048300</v>
      </c>
      <c r="H26" s="10">
        <v>100257209</v>
      </c>
      <c r="I26" s="10">
        <v>110877097</v>
      </c>
      <c r="J26" s="10">
        <v>70701591</v>
      </c>
      <c r="K26" s="10">
        <v>90195441</v>
      </c>
      <c r="L26" s="10">
        <v>97547934</v>
      </c>
    </row>
    <row r="27" spans="1:12" ht="14.5" x14ac:dyDescent="0.35">
      <c r="A27" s="8" t="s">
        <v>54</v>
      </c>
      <c r="B27" s="11">
        <v>26083300</v>
      </c>
      <c r="C27" s="11">
        <v>23938000</v>
      </c>
      <c r="D27" s="11">
        <v>29529000</v>
      </c>
      <c r="E27" s="11">
        <v>27186800</v>
      </c>
      <c r="F27" s="11">
        <v>29003100</v>
      </c>
      <c r="G27" s="11">
        <v>37984200</v>
      </c>
      <c r="H27" s="11">
        <v>36621396</v>
      </c>
      <c r="I27" s="11">
        <v>33443110</v>
      </c>
      <c r="J27" s="11">
        <v>38330500</v>
      </c>
      <c r="K27" s="11">
        <v>35584501</v>
      </c>
      <c r="L27" s="11">
        <v>42182195</v>
      </c>
    </row>
    <row r="28" spans="1:12" ht="14.5" x14ac:dyDescent="0.35">
      <c r="A28" s="8" t="s">
        <v>55</v>
      </c>
      <c r="B28" s="11">
        <v>553614500</v>
      </c>
      <c r="C28" s="11">
        <v>538543400</v>
      </c>
      <c r="D28" s="11">
        <v>548973700</v>
      </c>
      <c r="E28" s="11">
        <v>623406100</v>
      </c>
      <c r="F28" s="11">
        <v>592168500</v>
      </c>
      <c r="G28" s="11">
        <v>525916900</v>
      </c>
      <c r="H28" s="11">
        <v>441243104</v>
      </c>
      <c r="I28" s="11">
        <v>510581831</v>
      </c>
      <c r="J28" s="11">
        <v>492195700</v>
      </c>
      <c r="K28" s="11">
        <v>420351769</v>
      </c>
      <c r="L28" s="11">
        <v>388782359</v>
      </c>
    </row>
    <row r="29" spans="1:12" ht="14.5" x14ac:dyDescent="0.35">
      <c r="A29" s="8" t="s">
        <v>56</v>
      </c>
      <c r="B29" s="10">
        <v>61873400</v>
      </c>
      <c r="C29" s="10">
        <v>62174000</v>
      </c>
      <c r="D29" s="10">
        <v>62460800</v>
      </c>
      <c r="E29" s="10">
        <v>78016100</v>
      </c>
      <c r="F29" s="10">
        <v>96823900</v>
      </c>
      <c r="G29" s="10">
        <v>119683700</v>
      </c>
      <c r="H29" s="10">
        <v>89785305</v>
      </c>
      <c r="I29" s="10">
        <v>102905462</v>
      </c>
      <c r="J29" s="10">
        <v>85625182</v>
      </c>
      <c r="K29" s="10">
        <v>76662640</v>
      </c>
      <c r="L29" s="10">
        <v>95460672</v>
      </c>
    </row>
    <row r="30" spans="1:12" ht="14.5" x14ac:dyDescent="0.35">
      <c r="A30" s="8" t="s">
        <v>57</v>
      </c>
      <c r="B30" s="11">
        <v>1975100</v>
      </c>
      <c r="C30" s="11">
        <v>1861200</v>
      </c>
      <c r="D30" s="11">
        <v>2528500</v>
      </c>
      <c r="E30" s="11">
        <v>1448800</v>
      </c>
      <c r="F30" s="11">
        <v>1080400</v>
      </c>
      <c r="G30" s="11">
        <v>1193700</v>
      </c>
      <c r="H30" s="11">
        <v>1093998</v>
      </c>
      <c r="I30" s="11">
        <v>1481330</v>
      </c>
      <c r="J30" s="11">
        <v>1310661</v>
      </c>
      <c r="K30" s="11">
        <v>1668556</v>
      </c>
      <c r="L30" s="11">
        <v>1466421</v>
      </c>
    </row>
    <row r="31" spans="1:12" ht="14.5" x14ac:dyDescent="0.35">
      <c r="A31" s="8" t="s">
        <v>58</v>
      </c>
      <c r="B31" s="10">
        <v>18111600</v>
      </c>
      <c r="C31" s="10">
        <v>28791300</v>
      </c>
      <c r="D31" s="10">
        <v>29974200</v>
      </c>
      <c r="E31" s="10">
        <v>12183100</v>
      </c>
      <c r="F31" s="10">
        <v>20020000</v>
      </c>
      <c r="G31" s="10">
        <v>20386600</v>
      </c>
      <c r="H31" s="10">
        <v>12026972</v>
      </c>
      <c r="I31" s="10">
        <v>9487618</v>
      </c>
      <c r="J31" s="10">
        <v>14461878</v>
      </c>
      <c r="K31" s="10">
        <v>6444609</v>
      </c>
      <c r="L31" s="10">
        <v>17305019</v>
      </c>
    </row>
    <row r="32" spans="1:12" ht="14.5" x14ac:dyDescent="0.35">
      <c r="A32" s="8" t="s">
        <v>59</v>
      </c>
      <c r="B32" s="11" t="s">
        <v>38</v>
      </c>
      <c r="C32" s="11" t="s">
        <v>38</v>
      </c>
      <c r="D32" s="11" t="s">
        <v>38</v>
      </c>
      <c r="E32" s="11" t="s">
        <v>38</v>
      </c>
      <c r="F32" s="11" t="s">
        <v>38</v>
      </c>
      <c r="G32" s="11" t="s">
        <v>38</v>
      </c>
      <c r="H32" s="11" t="s">
        <v>38</v>
      </c>
      <c r="I32" s="11" t="s">
        <v>38</v>
      </c>
      <c r="J32" s="11" t="s">
        <v>38</v>
      </c>
      <c r="K32" s="11" t="s">
        <v>38</v>
      </c>
      <c r="L32" s="11" t="s">
        <v>38</v>
      </c>
    </row>
    <row r="33" spans="1:12" ht="14.5" x14ac:dyDescent="0.35">
      <c r="A33" s="8" t="s">
        <v>60</v>
      </c>
      <c r="B33" s="10" t="s">
        <v>38</v>
      </c>
      <c r="C33" s="10" t="s">
        <v>38</v>
      </c>
      <c r="D33" s="10" t="s">
        <v>38</v>
      </c>
      <c r="E33" s="10" t="s">
        <v>38</v>
      </c>
      <c r="F33" s="10" t="s">
        <v>38</v>
      </c>
      <c r="G33" s="10" t="s">
        <v>38</v>
      </c>
      <c r="H33" s="10" t="s">
        <v>38</v>
      </c>
      <c r="I33" s="10" t="s">
        <v>38</v>
      </c>
      <c r="J33" s="10" t="s">
        <v>38</v>
      </c>
      <c r="K33" s="10" t="s">
        <v>38</v>
      </c>
      <c r="L33" s="10" t="s">
        <v>38</v>
      </c>
    </row>
    <row r="34" spans="1:12" ht="14.5" x14ac:dyDescent="0.35">
      <c r="A34" s="8" t="s">
        <v>61</v>
      </c>
      <c r="B34" s="11">
        <v>224500</v>
      </c>
      <c r="C34" s="11">
        <v>232800</v>
      </c>
      <c r="D34" s="11">
        <v>251000</v>
      </c>
      <c r="E34" s="11">
        <v>76900</v>
      </c>
      <c r="F34" s="11">
        <v>105900</v>
      </c>
      <c r="G34" s="11">
        <v>57900</v>
      </c>
      <c r="H34" s="11">
        <v>153086</v>
      </c>
      <c r="I34" s="11">
        <v>48218</v>
      </c>
      <c r="J34" s="11">
        <v>125129</v>
      </c>
      <c r="K34" s="11">
        <v>162541</v>
      </c>
      <c r="L34" s="11">
        <v>56131</v>
      </c>
    </row>
    <row r="35" spans="1:12" ht="14.5" x14ac:dyDescent="0.35">
      <c r="A35" s="8" t="s">
        <v>62</v>
      </c>
      <c r="B35" s="10">
        <v>2610391100</v>
      </c>
      <c r="C35" s="10">
        <v>2468740700</v>
      </c>
      <c r="D35" s="10">
        <v>1655813800</v>
      </c>
      <c r="E35" s="10">
        <v>1585833500</v>
      </c>
      <c r="F35" s="10">
        <v>2474144000</v>
      </c>
      <c r="G35" s="10">
        <v>2746052200</v>
      </c>
      <c r="H35" s="10">
        <v>1694530939</v>
      </c>
      <c r="I35" s="10">
        <v>2551776984</v>
      </c>
      <c r="J35" s="10">
        <v>2443446888</v>
      </c>
      <c r="K35" s="10">
        <v>3222517774</v>
      </c>
      <c r="L35" s="10">
        <v>3539562445</v>
      </c>
    </row>
    <row r="36" spans="1:12" ht="14.5" x14ac:dyDescent="0.35">
      <c r="A36" s="8" t="s">
        <v>63</v>
      </c>
      <c r="B36" s="11" t="s">
        <v>38</v>
      </c>
      <c r="C36" s="11" t="s">
        <v>38</v>
      </c>
      <c r="D36" s="11" t="s">
        <v>38</v>
      </c>
      <c r="E36" s="11" t="s">
        <v>38</v>
      </c>
      <c r="F36" s="11" t="s">
        <v>38</v>
      </c>
      <c r="G36" s="11" t="s">
        <v>38</v>
      </c>
      <c r="H36" s="11" t="s">
        <v>38</v>
      </c>
      <c r="I36" s="11" t="s">
        <v>38</v>
      </c>
      <c r="J36" s="11" t="s">
        <v>38</v>
      </c>
      <c r="K36" s="11" t="s">
        <v>38</v>
      </c>
      <c r="L36" s="11" t="s">
        <v>38</v>
      </c>
    </row>
    <row r="37" spans="1:12" ht="14.5" x14ac:dyDescent="0.35">
      <c r="A37" s="8" t="s">
        <v>64</v>
      </c>
      <c r="B37" s="10">
        <v>381348200</v>
      </c>
      <c r="C37" s="10">
        <v>447756000</v>
      </c>
      <c r="D37" s="10">
        <v>461198900</v>
      </c>
      <c r="E37" s="10">
        <v>644897900</v>
      </c>
      <c r="F37" s="10">
        <v>748813400</v>
      </c>
      <c r="G37" s="10">
        <v>654313300</v>
      </c>
      <c r="H37" s="10">
        <v>677456678</v>
      </c>
      <c r="I37" s="10">
        <v>695840989</v>
      </c>
      <c r="J37" s="10">
        <v>941995994</v>
      </c>
      <c r="K37" s="10">
        <v>637652649</v>
      </c>
      <c r="L37" s="10">
        <v>664783514</v>
      </c>
    </row>
    <row r="38" spans="1:12" ht="14.5" x14ac:dyDescent="0.35">
      <c r="A38" s="8" t="s">
        <v>65</v>
      </c>
      <c r="B38" s="11">
        <v>145308800</v>
      </c>
      <c r="C38" s="11">
        <v>138538400</v>
      </c>
      <c r="D38" s="11">
        <v>148298200</v>
      </c>
      <c r="E38" s="11">
        <v>154215500</v>
      </c>
      <c r="F38" s="11">
        <v>166325000</v>
      </c>
      <c r="G38" s="11">
        <v>156648000</v>
      </c>
      <c r="H38" s="11">
        <v>159050268</v>
      </c>
      <c r="I38" s="11">
        <v>184688021</v>
      </c>
      <c r="J38" s="11">
        <v>160622590</v>
      </c>
      <c r="K38" s="11">
        <v>165940611</v>
      </c>
      <c r="L38" s="11">
        <v>134628238</v>
      </c>
    </row>
    <row r="39" spans="1:12" ht="14.5" x14ac:dyDescent="0.35">
      <c r="A39" s="8" t="s">
        <v>66</v>
      </c>
      <c r="B39" s="10">
        <v>146666300</v>
      </c>
      <c r="C39" s="10">
        <v>139150300</v>
      </c>
      <c r="D39" s="10">
        <v>155437600</v>
      </c>
      <c r="E39" s="10">
        <v>170343800</v>
      </c>
      <c r="F39" s="10">
        <v>163099200</v>
      </c>
      <c r="G39" s="10">
        <v>195664600</v>
      </c>
      <c r="H39" s="10">
        <v>204989081</v>
      </c>
      <c r="I39" s="10">
        <v>230999189</v>
      </c>
      <c r="J39" s="10">
        <v>239806627</v>
      </c>
      <c r="K39" s="10">
        <v>220643510</v>
      </c>
      <c r="L39" s="10">
        <v>184888544</v>
      </c>
    </row>
    <row r="40" spans="1:12" ht="14.5" x14ac:dyDescent="0.35">
      <c r="A40" s="8" t="s">
        <v>67</v>
      </c>
      <c r="B40" s="11">
        <v>186807500</v>
      </c>
      <c r="C40" s="11">
        <v>198261500</v>
      </c>
      <c r="D40" s="11">
        <v>175430500</v>
      </c>
      <c r="E40" s="11">
        <v>206245900</v>
      </c>
      <c r="F40" s="11">
        <v>211944500</v>
      </c>
      <c r="G40" s="11">
        <v>221190900</v>
      </c>
      <c r="H40" s="11">
        <v>199901696</v>
      </c>
      <c r="I40" s="11">
        <v>197727811</v>
      </c>
      <c r="J40" s="11">
        <v>142286449</v>
      </c>
      <c r="K40" s="11">
        <v>130137988</v>
      </c>
      <c r="L40" s="11">
        <v>80872555</v>
      </c>
    </row>
    <row r="41" spans="1:12" ht="14.5" x14ac:dyDescent="0.35">
      <c r="A41" s="8" t="s">
        <v>68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</row>
    <row r="42" spans="1:12" ht="14.5" x14ac:dyDescent="0.35">
      <c r="A42" s="8" t="s">
        <v>69</v>
      </c>
      <c r="B42" s="11">
        <v>119881700</v>
      </c>
      <c r="C42" s="11">
        <v>116052800</v>
      </c>
      <c r="D42" s="11">
        <v>112888400</v>
      </c>
      <c r="E42" s="11">
        <v>100619900</v>
      </c>
      <c r="F42" s="11">
        <v>106224300</v>
      </c>
      <c r="G42" s="11">
        <v>98822400</v>
      </c>
      <c r="H42" s="11">
        <v>103311626</v>
      </c>
      <c r="I42" s="11">
        <v>122641611</v>
      </c>
      <c r="J42" s="11">
        <v>74555265</v>
      </c>
      <c r="K42" s="11">
        <v>52512011</v>
      </c>
      <c r="L42" s="11">
        <v>49545412</v>
      </c>
    </row>
    <row r="43" spans="1:12" ht="14.5" x14ac:dyDescent="0.35">
      <c r="A43" s="8" t="s">
        <v>70</v>
      </c>
      <c r="B43" s="10" t="s">
        <v>38</v>
      </c>
      <c r="C43" s="10" t="s">
        <v>38</v>
      </c>
      <c r="D43" s="10" t="s">
        <v>38</v>
      </c>
      <c r="E43" s="10" t="s">
        <v>38</v>
      </c>
      <c r="F43" s="10" t="s">
        <v>38</v>
      </c>
      <c r="G43" s="10" t="s">
        <v>38</v>
      </c>
      <c r="H43" s="10" t="s">
        <v>38</v>
      </c>
      <c r="I43" s="10" t="s">
        <v>38</v>
      </c>
      <c r="J43" s="10" t="s">
        <v>38</v>
      </c>
      <c r="K43" s="10" t="s">
        <v>38</v>
      </c>
      <c r="L43" s="10" t="s">
        <v>38</v>
      </c>
    </row>
    <row r="45" spans="1:12" ht="14.5" x14ac:dyDescent="0.35">
      <c r="A45" s="1" t="s">
        <v>71</v>
      </c>
    </row>
    <row r="46" spans="1:12" ht="14.5" x14ac:dyDescent="0.35">
      <c r="A46" s="1" t="s">
        <v>38</v>
      </c>
      <c r="B46" s="3" t="s">
        <v>72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workbookViewId="0">
      <pane xSplit="1" ySplit="10" topLeftCell="B17" activePane="bottomRight" state="frozen"/>
      <selection pane="topRight"/>
      <selection pane="bottomLeft"/>
      <selection pane="bottomRight" activeCell="A43" sqref="A43:XFD43"/>
    </sheetView>
  </sheetViews>
  <sheetFormatPr baseColWidth="10" defaultColWidth="8.7265625" defaultRowHeight="11.4" customHeight="1" x14ac:dyDescent="0.35"/>
  <cols>
    <col min="1" max="1" width="29.90625" customWidth="1"/>
    <col min="2" max="12" width="10" customWidth="1"/>
  </cols>
  <sheetData>
    <row r="1" spans="1:12" ht="14.5" x14ac:dyDescent="0.35">
      <c r="A1" s="3" t="s">
        <v>18</v>
      </c>
    </row>
    <row r="2" spans="1:12" ht="14.5" x14ac:dyDescent="0.35">
      <c r="A2" s="2" t="s">
        <v>19</v>
      </c>
      <c r="B2" s="1" t="s">
        <v>0</v>
      </c>
    </row>
    <row r="3" spans="1:12" ht="14.5" x14ac:dyDescent="0.35">
      <c r="A3" s="2" t="s">
        <v>20</v>
      </c>
      <c r="B3" s="2" t="s">
        <v>6</v>
      </c>
    </row>
    <row r="5" spans="1:12" ht="14.5" x14ac:dyDescent="0.35">
      <c r="A5" s="1" t="s">
        <v>11</v>
      </c>
      <c r="C5" s="2" t="s">
        <v>14</v>
      </c>
    </row>
    <row r="6" spans="1:12" ht="14.5" x14ac:dyDescent="0.35">
      <c r="A6" s="1" t="s">
        <v>12</v>
      </c>
      <c r="C6" s="2" t="s">
        <v>17</v>
      </c>
    </row>
    <row r="8" spans="1:12" ht="14.5" x14ac:dyDescent="0.35">
      <c r="A8" s="6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</row>
    <row r="9" spans="1:12" ht="14.5" x14ac:dyDescent="0.35">
      <c r="A9" s="6" t="s">
        <v>33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</row>
    <row r="10" spans="1:12" ht="14.5" x14ac:dyDescent="0.35">
      <c r="A10" s="7" t="s">
        <v>35</v>
      </c>
      <c r="B10" s="9" t="s">
        <v>36</v>
      </c>
      <c r="C10" s="9" t="s">
        <v>36</v>
      </c>
      <c r="D10" s="9" t="s">
        <v>36</v>
      </c>
      <c r="E10" s="9" t="s">
        <v>36</v>
      </c>
      <c r="F10" s="9" t="s">
        <v>36</v>
      </c>
      <c r="G10" s="9" t="s">
        <v>36</v>
      </c>
      <c r="H10" s="9" t="s">
        <v>36</v>
      </c>
      <c r="I10" s="9" t="s">
        <v>36</v>
      </c>
      <c r="J10" s="9" t="s">
        <v>36</v>
      </c>
      <c r="K10" s="9" t="s">
        <v>36</v>
      </c>
      <c r="L10" s="9" t="s">
        <v>36</v>
      </c>
    </row>
    <row r="11" spans="1:12" ht="14.5" x14ac:dyDescent="0.35">
      <c r="A11" s="8" t="s">
        <v>37</v>
      </c>
      <c r="B11" s="10" t="s">
        <v>38</v>
      </c>
      <c r="C11" s="10" t="s">
        <v>38</v>
      </c>
      <c r="D11" s="10" t="s">
        <v>38</v>
      </c>
      <c r="E11" s="10" t="s">
        <v>38</v>
      </c>
      <c r="F11" s="10" t="s">
        <v>38</v>
      </c>
      <c r="G11" s="10" t="s">
        <v>38</v>
      </c>
      <c r="H11" s="10" t="s">
        <v>38</v>
      </c>
      <c r="I11" s="10" t="s">
        <v>38</v>
      </c>
      <c r="J11" s="10" t="s">
        <v>73</v>
      </c>
      <c r="K11" s="10" t="s">
        <v>73</v>
      </c>
      <c r="L11" s="10" t="s">
        <v>73</v>
      </c>
    </row>
    <row r="12" spans="1:12" ht="14.5" x14ac:dyDescent="0.35">
      <c r="A12" s="8" t="s">
        <v>39</v>
      </c>
      <c r="B12" s="11" t="s">
        <v>73</v>
      </c>
      <c r="C12" s="11" t="s">
        <v>73</v>
      </c>
      <c r="D12" s="11" t="s">
        <v>73</v>
      </c>
      <c r="E12" s="11" t="s">
        <v>73</v>
      </c>
      <c r="F12" s="11" t="s">
        <v>73</v>
      </c>
      <c r="G12" s="11" t="s">
        <v>73</v>
      </c>
      <c r="H12" s="11" t="s">
        <v>73</v>
      </c>
      <c r="I12" s="11" t="s">
        <v>73</v>
      </c>
      <c r="J12" s="11" t="s">
        <v>73</v>
      </c>
      <c r="K12" s="11" t="s">
        <v>73</v>
      </c>
      <c r="L12" s="11" t="s">
        <v>73</v>
      </c>
    </row>
    <row r="13" spans="1:12" ht="14.5" x14ac:dyDescent="0.35">
      <c r="A13" s="8" t="s">
        <v>40</v>
      </c>
      <c r="B13" s="10" t="s">
        <v>73</v>
      </c>
      <c r="C13" s="10" t="s">
        <v>73</v>
      </c>
      <c r="D13" s="10" t="s">
        <v>73</v>
      </c>
      <c r="E13" s="10" t="s">
        <v>73</v>
      </c>
      <c r="F13" s="10" t="s">
        <v>73</v>
      </c>
      <c r="G13" s="10" t="s">
        <v>73</v>
      </c>
      <c r="H13" s="10" t="s">
        <v>73</v>
      </c>
      <c r="I13" s="10" t="s">
        <v>73</v>
      </c>
      <c r="J13" s="10" t="s">
        <v>73</v>
      </c>
      <c r="K13" s="10" t="s">
        <v>73</v>
      </c>
      <c r="L13" s="10" t="s">
        <v>73</v>
      </c>
    </row>
    <row r="14" spans="1:12" ht="14.5" x14ac:dyDescent="0.35">
      <c r="A14" s="8" t="s">
        <v>41</v>
      </c>
      <c r="B14" s="11" t="s">
        <v>73</v>
      </c>
      <c r="C14" s="11" t="s">
        <v>73</v>
      </c>
      <c r="D14" s="11" t="s">
        <v>73</v>
      </c>
      <c r="E14" s="11" t="s">
        <v>73</v>
      </c>
      <c r="F14" s="11" t="s">
        <v>73</v>
      </c>
      <c r="G14" s="11" t="s">
        <v>73</v>
      </c>
      <c r="H14" s="11" t="s">
        <v>73</v>
      </c>
      <c r="I14" s="11" t="s">
        <v>73</v>
      </c>
      <c r="J14" s="11" t="s">
        <v>73</v>
      </c>
      <c r="K14" s="11" t="s">
        <v>73</v>
      </c>
      <c r="L14" s="11" t="s">
        <v>73</v>
      </c>
    </row>
    <row r="15" spans="1:12" ht="14.5" x14ac:dyDescent="0.35">
      <c r="A15" s="8" t="s">
        <v>42</v>
      </c>
      <c r="B15" s="10" t="s">
        <v>73</v>
      </c>
      <c r="C15" s="10" t="s">
        <v>73</v>
      </c>
      <c r="D15" s="10" t="s">
        <v>73</v>
      </c>
      <c r="E15" s="10" t="s">
        <v>73</v>
      </c>
      <c r="F15" s="10" t="s">
        <v>73</v>
      </c>
      <c r="G15" s="10" t="s">
        <v>73</v>
      </c>
      <c r="H15" s="10" t="s">
        <v>73</v>
      </c>
      <c r="I15" s="10" t="s">
        <v>73</v>
      </c>
      <c r="J15" s="10" t="s">
        <v>73</v>
      </c>
      <c r="K15" s="10" t="s">
        <v>73</v>
      </c>
      <c r="L15" s="10" t="s">
        <v>73</v>
      </c>
    </row>
    <row r="16" spans="1:12" ht="14.5" x14ac:dyDescent="0.35">
      <c r="A16" s="8" t="s">
        <v>43</v>
      </c>
      <c r="B16" s="10" t="s">
        <v>73</v>
      </c>
      <c r="C16" s="10" t="s">
        <v>73</v>
      </c>
      <c r="D16" s="10" t="s">
        <v>73</v>
      </c>
      <c r="E16" s="10" t="s">
        <v>73</v>
      </c>
      <c r="F16" s="10" t="s">
        <v>73</v>
      </c>
      <c r="G16" s="10" t="s">
        <v>73</v>
      </c>
      <c r="H16" s="10" t="s">
        <v>73</v>
      </c>
      <c r="I16" s="10" t="s">
        <v>73</v>
      </c>
      <c r="J16" s="10" t="s">
        <v>73</v>
      </c>
      <c r="K16" s="10" t="s">
        <v>73</v>
      </c>
      <c r="L16" s="10" t="s">
        <v>73</v>
      </c>
    </row>
    <row r="17" spans="1:12" ht="14.5" x14ac:dyDescent="0.35">
      <c r="A17" s="8" t="s">
        <v>44</v>
      </c>
      <c r="B17" s="11" t="s">
        <v>73</v>
      </c>
      <c r="C17" s="11" t="s">
        <v>73</v>
      </c>
      <c r="D17" s="11" t="s">
        <v>73</v>
      </c>
      <c r="E17" s="11" t="s">
        <v>73</v>
      </c>
      <c r="F17" s="11" t="s">
        <v>73</v>
      </c>
      <c r="G17" s="11" t="s">
        <v>73</v>
      </c>
      <c r="H17" s="11" t="s">
        <v>73</v>
      </c>
      <c r="I17" s="11" t="s">
        <v>73</v>
      </c>
      <c r="J17" s="11" t="s">
        <v>73</v>
      </c>
      <c r="K17" s="11" t="s">
        <v>73</v>
      </c>
      <c r="L17" s="11" t="s">
        <v>73</v>
      </c>
    </row>
    <row r="18" spans="1:12" ht="14.5" x14ac:dyDescent="0.35">
      <c r="A18" s="8" t="s">
        <v>45</v>
      </c>
      <c r="B18" s="10" t="s">
        <v>73</v>
      </c>
      <c r="C18" s="10" t="s">
        <v>73</v>
      </c>
      <c r="D18" s="10" t="s">
        <v>73</v>
      </c>
      <c r="E18" s="10" t="s">
        <v>73</v>
      </c>
      <c r="F18" s="10" t="s">
        <v>73</v>
      </c>
      <c r="G18" s="10" t="s">
        <v>73</v>
      </c>
      <c r="H18" s="10" t="s">
        <v>73</v>
      </c>
      <c r="I18" s="10" t="s">
        <v>73</v>
      </c>
      <c r="J18" s="10" t="s">
        <v>73</v>
      </c>
      <c r="K18" s="10" t="s">
        <v>73</v>
      </c>
      <c r="L18" s="10" t="s">
        <v>73</v>
      </c>
    </row>
    <row r="19" spans="1:12" ht="14.5" x14ac:dyDescent="0.35">
      <c r="A19" s="8" t="s">
        <v>46</v>
      </c>
      <c r="B19" s="11" t="s">
        <v>73</v>
      </c>
      <c r="C19" s="11" t="s">
        <v>73</v>
      </c>
      <c r="D19" s="11" t="s">
        <v>73</v>
      </c>
      <c r="E19" s="11" t="s">
        <v>73</v>
      </c>
      <c r="F19" s="11" t="s">
        <v>73</v>
      </c>
      <c r="G19" s="11" t="s">
        <v>73</v>
      </c>
      <c r="H19" s="11" t="s">
        <v>73</v>
      </c>
      <c r="I19" s="11" t="s">
        <v>73</v>
      </c>
      <c r="J19" s="11" t="s">
        <v>73</v>
      </c>
      <c r="K19" s="11" t="s">
        <v>73</v>
      </c>
      <c r="L19" s="11" t="s">
        <v>73</v>
      </c>
    </row>
    <row r="20" spans="1:12" ht="14.5" x14ac:dyDescent="0.35">
      <c r="A20" s="8" t="s">
        <v>47</v>
      </c>
      <c r="B20" s="10" t="s">
        <v>73</v>
      </c>
      <c r="C20" s="10" t="s">
        <v>73</v>
      </c>
      <c r="D20" s="10" t="s">
        <v>73</v>
      </c>
      <c r="E20" s="10" t="s">
        <v>73</v>
      </c>
      <c r="F20" s="10" t="s">
        <v>73</v>
      </c>
      <c r="G20" s="10" t="s">
        <v>73</v>
      </c>
      <c r="H20" s="10" t="s">
        <v>73</v>
      </c>
      <c r="I20" s="10" t="s">
        <v>73</v>
      </c>
      <c r="J20" s="10" t="s">
        <v>73</v>
      </c>
      <c r="K20" s="10" t="s">
        <v>73</v>
      </c>
      <c r="L20" s="10" t="s">
        <v>73</v>
      </c>
    </row>
    <row r="21" spans="1:12" ht="14.5" x14ac:dyDescent="0.35">
      <c r="A21" s="8" t="s">
        <v>48</v>
      </c>
      <c r="B21" s="10" t="s">
        <v>73</v>
      </c>
      <c r="C21" s="10" t="s">
        <v>73</v>
      </c>
      <c r="D21" s="10" t="s">
        <v>73</v>
      </c>
      <c r="E21" s="10" t="s">
        <v>73</v>
      </c>
      <c r="F21" s="10" t="s">
        <v>73</v>
      </c>
      <c r="G21" s="10" t="s">
        <v>73</v>
      </c>
      <c r="H21" s="10" t="s">
        <v>73</v>
      </c>
      <c r="I21" s="10" t="s">
        <v>73</v>
      </c>
      <c r="J21" s="10" t="s">
        <v>73</v>
      </c>
      <c r="K21" s="10" t="s">
        <v>73</v>
      </c>
      <c r="L21" s="10" t="s">
        <v>73</v>
      </c>
    </row>
    <row r="22" spans="1:12" ht="14.5" x14ac:dyDescent="0.35">
      <c r="A22" s="8" t="s">
        <v>49</v>
      </c>
      <c r="B22" s="11" t="s">
        <v>73</v>
      </c>
      <c r="C22" s="11" t="s">
        <v>73</v>
      </c>
      <c r="D22" s="11" t="s">
        <v>73</v>
      </c>
      <c r="E22" s="11" t="s">
        <v>73</v>
      </c>
      <c r="F22" s="11" t="s">
        <v>73</v>
      </c>
      <c r="G22" s="11" t="s">
        <v>73</v>
      </c>
      <c r="H22" s="11" t="s">
        <v>73</v>
      </c>
      <c r="I22" s="11" t="s">
        <v>73</v>
      </c>
      <c r="J22" s="11" t="s">
        <v>73</v>
      </c>
      <c r="K22" s="11" t="s">
        <v>73</v>
      </c>
      <c r="L22" s="11" t="s">
        <v>73</v>
      </c>
    </row>
    <row r="23" spans="1:12" ht="14.5" x14ac:dyDescent="0.35">
      <c r="A23" s="8" t="s">
        <v>50</v>
      </c>
      <c r="B23" s="10" t="s">
        <v>73</v>
      </c>
      <c r="C23" s="10" t="s">
        <v>73</v>
      </c>
      <c r="D23" s="10" t="s">
        <v>73</v>
      </c>
      <c r="E23" s="10" t="s">
        <v>73</v>
      </c>
      <c r="F23" s="10" t="s">
        <v>73</v>
      </c>
      <c r="G23" s="10" t="s">
        <v>73</v>
      </c>
      <c r="H23" s="10" t="s">
        <v>38</v>
      </c>
      <c r="I23" s="10" t="s">
        <v>38</v>
      </c>
      <c r="J23" s="10" t="s">
        <v>38</v>
      </c>
      <c r="K23" s="10" t="s">
        <v>38</v>
      </c>
      <c r="L23" s="10" t="s">
        <v>38</v>
      </c>
    </row>
    <row r="24" spans="1:12" ht="14.5" x14ac:dyDescent="0.35">
      <c r="A24" s="8" t="s">
        <v>51</v>
      </c>
      <c r="B24" s="11" t="s">
        <v>73</v>
      </c>
      <c r="C24" s="11" t="s">
        <v>73</v>
      </c>
      <c r="D24" s="11" t="s">
        <v>73</v>
      </c>
      <c r="E24" s="11" t="s">
        <v>73</v>
      </c>
      <c r="F24" s="11" t="s">
        <v>73</v>
      </c>
      <c r="G24" s="11" t="s">
        <v>73</v>
      </c>
      <c r="H24" s="11" t="s">
        <v>73</v>
      </c>
      <c r="I24" s="11" t="s">
        <v>73</v>
      </c>
      <c r="J24" s="11" t="s">
        <v>73</v>
      </c>
      <c r="K24" s="11" t="s">
        <v>73</v>
      </c>
      <c r="L24" s="11" t="s">
        <v>73</v>
      </c>
    </row>
    <row r="25" spans="1:12" ht="14.5" x14ac:dyDescent="0.35">
      <c r="A25" s="8" t="s">
        <v>52</v>
      </c>
      <c r="B25" s="10" t="s">
        <v>73</v>
      </c>
      <c r="C25" s="10" t="s">
        <v>73</v>
      </c>
      <c r="D25" s="10" t="s">
        <v>73</v>
      </c>
      <c r="E25" s="10" t="s">
        <v>73</v>
      </c>
      <c r="F25" s="10" t="s">
        <v>73</v>
      </c>
      <c r="G25" s="10" t="s">
        <v>73</v>
      </c>
      <c r="H25" s="10" t="s">
        <v>73</v>
      </c>
      <c r="I25" s="10" t="s">
        <v>73</v>
      </c>
      <c r="J25" s="10" t="s">
        <v>73</v>
      </c>
      <c r="K25" s="10" t="s">
        <v>73</v>
      </c>
      <c r="L25" s="10" t="s">
        <v>73</v>
      </c>
    </row>
    <row r="26" spans="1:12" ht="14.5" x14ac:dyDescent="0.35">
      <c r="A26" s="8" t="s">
        <v>53</v>
      </c>
      <c r="B26" s="11" t="s">
        <v>73</v>
      </c>
      <c r="C26" s="11" t="s">
        <v>73</v>
      </c>
      <c r="D26" s="11" t="s">
        <v>73</v>
      </c>
      <c r="E26" s="11" t="s">
        <v>73</v>
      </c>
      <c r="F26" s="11" t="s">
        <v>73</v>
      </c>
      <c r="G26" s="11" t="s">
        <v>73</v>
      </c>
      <c r="H26" s="11" t="s">
        <v>73</v>
      </c>
      <c r="I26" s="11" t="s">
        <v>73</v>
      </c>
      <c r="J26" s="11" t="s">
        <v>73</v>
      </c>
      <c r="K26" s="11" t="s">
        <v>73</v>
      </c>
      <c r="L26" s="11" t="s">
        <v>73</v>
      </c>
    </row>
    <row r="27" spans="1:12" ht="14.5" x14ac:dyDescent="0.35">
      <c r="A27" s="8" t="s">
        <v>54</v>
      </c>
      <c r="B27" s="10" t="s">
        <v>73</v>
      </c>
      <c r="C27" s="10" t="s">
        <v>73</v>
      </c>
      <c r="D27" s="10" t="s">
        <v>73</v>
      </c>
      <c r="E27" s="10" t="s">
        <v>73</v>
      </c>
      <c r="F27" s="10" t="s">
        <v>73</v>
      </c>
      <c r="G27" s="10" t="s">
        <v>73</v>
      </c>
      <c r="H27" s="10" t="s">
        <v>73</v>
      </c>
      <c r="I27" s="10" t="s">
        <v>73</v>
      </c>
      <c r="J27" s="10" t="s">
        <v>73</v>
      </c>
      <c r="K27" s="10" t="s">
        <v>73</v>
      </c>
      <c r="L27" s="10" t="s">
        <v>73</v>
      </c>
    </row>
    <row r="28" spans="1:12" ht="14.5" x14ac:dyDescent="0.35">
      <c r="A28" s="8" t="s">
        <v>55</v>
      </c>
      <c r="B28" s="11" t="s">
        <v>73</v>
      </c>
      <c r="C28" s="11" t="s">
        <v>73</v>
      </c>
      <c r="D28" s="11" t="s">
        <v>73</v>
      </c>
      <c r="E28" s="11" t="s">
        <v>73</v>
      </c>
      <c r="F28" s="11" t="s">
        <v>73</v>
      </c>
      <c r="G28" s="11" t="s">
        <v>73</v>
      </c>
      <c r="H28" s="11" t="s">
        <v>73</v>
      </c>
      <c r="I28" s="11" t="s">
        <v>73</v>
      </c>
      <c r="J28" s="11" t="s">
        <v>73</v>
      </c>
      <c r="K28" s="11" t="s">
        <v>73</v>
      </c>
      <c r="L28" s="11" t="s">
        <v>73</v>
      </c>
    </row>
    <row r="29" spans="1:12" ht="14.5" x14ac:dyDescent="0.35">
      <c r="A29" s="8" t="s">
        <v>56</v>
      </c>
      <c r="B29" s="10" t="s">
        <v>73</v>
      </c>
      <c r="C29" s="10" t="s">
        <v>73</v>
      </c>
      <c r="D29" s="10" t="s">
        <v>73</v>
      </c>
      <c r="E29" s="10" t="s">
        <v>73</v>
      </c>
      <c r="F29" s="10" t="s">
        <v>73</v>
      </c>
      <c r="G29" s="10" t="s">
        <v>73</v>
      </c>
      <c r="H29" s="10" t="s">
        <v>73</v>
      </c>
      <c r="I29" s="10" t="s">
        <v>73</v>
      </c>
      <c r="J29" s="10" t="s">
        <v>73</v>
      </c>
      <c r="K29" s="10" t="s">
        <v>73</v>
      </c>
      <c r="L29" s="10" t="s">
        <v>73</v>
      </c>
    </row>
    <row r="30" spans="1:12" ht="14.5" x14ac:dyDescent="0.35">
      <c r="A30" s="8" t="s">
        <v>57</v>
      </c>
      <c r="B30" s="11" t="s">
        <v>73</v>
      </c>
      <c r="C30" s="11" t="s">
        <v>73</v>
      </c>
      <c r="D30" s="11" t="s">
        <v>73</v>
      </c>
      <c r="E30" s="11" t="s">
        <v>73</v>
      </c>
      <c r="F30" s="11" t="s">
        <v>73</v>
      </c>
      <c r="G30" s="11" t="s">
        <v>73</v>
      </c>
      <c r="H30" s="11" t="s">
        <v>73</v>
      </c>
      <c r="I30" s="11" t="s">
        <v>73</v>
      </c>
      <c r="J30" s="11" t="s">
        <v>73</v>
      </c>
      <c r="K30" s="11" t="s">
        <v>73</v>
      </c>
      <c r="L30" s="11" t="s">
        <v>73</v>
      </c>
    </row>
    <row r="31" spans="1:12" ht="14.5" x14ac:dyDescent="0.35">
      <c r="A31" s="8" t="s">
        <v>58</v>
      </c>
      <c r="B31" s="10" t="s">
        <v>73</v>
      </c>
      <c r="C31" s="10" t="s">
        <v>73</v>
      </c>
      <c r="D31" s="10" t="s">
        <v>73</v>
      </c>
      <c r="E31" s="10" t="s">
        <v>73</v>
      </c>
      <c r="F31" s="10" t="s">
        <v>73</v>
      </c>
      <c r="G31" s="10" t="s">
        <v>73</v>
      </c>
      <c r="H31" s="10" t="s">
        <v>73</v>
      </c>
      <c r="I31" s="10" t="s">
        <v>73</v>
      </c>
      <c r="J31" s="10" t="s">
        <v>73</v>
      </c>
      <c r="K31" s="10" t="s">
        <v>73</v>
      </c>
      <c r="L31" s="10" t="s">
        <v>73</v>
      </c>
    </row>
    <row r="32" spans="1:12" ht="14.5" x14ac:dyDescent="0.35">
      <c r="A32" s="8" t="s">
        <v>59</v>
      </c>
      <c r="B32" s="11" t="s">
        <v>73</v>
      </c>
      <c r="C32" s="11" t="s">
        <v>73</v>
      </c>
      <c r="D32" s="11" t="s">
        <v>73</v>
      </c>
      <c r="E32" s="11" t="s">
        <v>73</v>
      </c>
      <c r="F32" s="11" t="s">
        <v>73</v>
      </c>
      <c r="G32" s="11" t="s">
        <v>73</v>
      </c>
      <c r="H32" s="11" t="s">
        <v>73</v>
      </c>
      <c r="I32" s="11" t="s">
        <v>73</v>
      </c>
      <c r="J32" s="11" t="s">
        <v>73</v>
      </c>
      <c r="K32" s="11" t="s">
        <v>73</v>
      </c>
      <c r="L32" s="11" t="s">
        <v>73</v>
      </c>
    </row>
    <row r="33" spans="1:12" ht="14.5" x14ac:dyDescent="0.35">
      <c r="A33" s="8" t="s">
        <v>60</v>
      </c>
      <c r="B33" s="10" t="s">
        <v>73</v>
      </c>
      <c r="C33" s="10" t="s">
        <v>73</v>
      </c>
      <c r="D33" s="10" t="s">
        <v>73</v>
      </c>
      <c r="E33" s="10" t="s">
        <v>73</v>
      </c>
      <c r="F33" s="10" t="s">
        <v>73</v>
      </c>
      <c r="G33" s="10" t="s">
        <v>73</v>
      </c>
      <c r="H33" s="10" t="s">
        <v>73</v>
      </c>
      <c r="I33" s="10" t="s">
        <v>73</v>
      </c>
      <c r="J33" s="10" t="s">
        <v>73</v>
      </c>
      <c r="K33" s="10" t="s">
        <v>73</v>
      </c>
      <c r="L33" s="10" t="s">
        <v>73</v>
      </c>
    </row>
    <row r="34" spans="1:12" ht="14.5" x14ac:dyDescent="0.35">
      <c r="A34" s="8" t="s">
        <v>61</v>
      </c>
      <c r="B34" s="11" t="s">
        <v>73</v>
      </c>
      <c r="C34" s="11" t="s">
        <v>73</v>
      </c>
      <c r="D34" s="11" t="s">
        <v>73</v>
      </c>
      <c r="E34" s="11" t="s">
        <v>73</v>
      </c>
      <c r="F34" s="11" t="s">
        <v>73</v>
      </c>
      <c r="G34" s="11" t="s">
        <v>73</v>
      </c>
      <c r="H34" s="11" t="s">
        <v>73</v>
      </c>
      <c r="I34" s="11" t="s">
        <v>73</v>
      </c>
      <c r="J34" s="11" t="s">
        <v>73</v>
      </c>
      <c r="K34" s="11" t="s">
        <v>73</v>
      </c>
      <c r="L34" s="11" t="s">
        <v>73</v>
      </c>
    </row>
    <row r="35" spans="1:12" ht="14.5" x14ac:dyDescent="0.35">
      <c r="A35" s="8" t="s">
        <v>62</v>
      </c>
      <c r="B35" s="10" t="s">
        <v>73</v>
      </c>
      <c r="C35" s="10" t="s">
        <v>73</v>
      </c>
      <c r="D35" s="10" t="s">
        <v>73</v>
      </c>
      <c r="E35" s="10" t="s">
        <v>73</v>
      </c>
      <c r="F35" s="10" t="s">
        <v>73</v>
      </c>
      <c r="G35" s="10" t="s">
        <v>73</v>
      </c>
      <c r="H35" s="10" t="s">
        <v>73</v>
      </c>
      <c r="I35" s="10" t="s">
        <v>73</v>
      </c>
      <c r="J35" s="10" t="s">
        <v>73</v>
      </c>
      <c r="K35" s="10" t="s">
        <v>73</v>
      </c>
      <c r="L35" s="10" t="s">
        <v>73</v>
      </c>
    </row>
    <row r="36" spans="1:12" ht="14.5" x14ac:dyDescent="0.35">
      <c r="A36" s="8" t="s">
        <v>63</v>
      </c>
      <c r="B36" s="11" t="s">
        <v>73</v>
      </c>
      <c r="C36" s="11" t="s">
        <v>73</v>
      </c>
      <c r="D36" s="11" t="s">
        <v>73</v>
      </c>
      <c r="E36" s="11" t="s">
        <v>73</v>
      </c>
      <c r="F36" s="11" t="s">
        <v>73</v>
      </c>
      <c r="G36" s="11" t="s">
        <v>73</v>
      </c>
      <c r="H36" s="11" t="s">
        <v>73</v>
      </c>
      <c r="I36" s="11" t="s">
        <v>73</v>
      </c>
      <c r="J36" s="11" t="s">
        <v>73</v>
      </c>
      <c r="K36" s="11" t="s">
        <v>73</v>
      </c>
      <c r="L36" s="11" t="s">
        <v>73</v>
      </c>
    </row>
    <row r="37" spans="1:12" ht="14.5" x14ac:dyDescent="0.35">
      <c r="A37" s="8" t="s">
        <v>64</v>
      </c>
      <c r="B37" s="10" t="s">
        <v>73</v>
      </c>
      <c r="C37" s="10" t="s">
        <v>73</v>
      </c>
      <c r="D37" s="10" t="s">
        <v>73</v>
      </c>
      <c r="E37" s="10" t="s">
        <v>73</v>
      </c>
      <c r="F37" s="10" t="s">
        <v>73</v>
      </c>
      <c r="G37" s="10" t="s">
        <v>73</v>
      </c>
      <c r="H37" s="10" t="s">
        <v>73</v>
      </c>
      <c r="I37" s="10" t="s">
        <v>73</v>
      </c>
      <c r="J37" s="10" t="s">
        <v>73</v>
      </c>
      <c r="K37" s="10" t="s">
        <v>73</v>
      </c>
      <c r="L37" s="10" t="s">
        <v>73</v>
      </c>
    </row>
    <row r="38" spans="1:12" ht="14.5" x14ac:dyDescent="0.35">
      <c r="A38" s="8" t="s">
        <v>65</v>
      </c>
      <c r="B38" s="11" t="s">
        <v>73</v>
      </c>
      <c r="C38" s="11" t="s">
        <v>73</v>
      </c>
      <c r="D38" s="11" t="s">
        <v>73</v>
      </c>
      <c r="E38" s="11" t="s">
        <v>73</v>
      </c>
      <c r="F38" s="11" t="s">
        <v>73</v>
      </c>
      <c r="G38" s="11" t="s">
        <v>73</v>
      </c>
      <c r="H38" s="11" t="s">
        <v>73</v>
      </c>
      <c r="I38" s="11" t="s">
        <v>73</v>
      </c>
      <c r="J38" s="11" t="s">
        <v>73</v>
      </c>
      <c r="K38" s="11" t="s">
        <v>73</v>
      </c>
      <c r="L38" s="11" t="s">
        <v>73</v>
      </c>
    </row>
    <row r="39" spans="1:12" ht="14.5" x14ac:dyDescent="0.35">
      <c r="A39" s="8" t="s">
        <v>66</v>
      </c>
      <c r="B39" s="10" t="s">
        <v>73</v>
      </c>
      <c r="C39" s="10" t="s">
        <v>73</v>
      </c>
      <c r="D39" s="10" t="s">
        <v>73</v>
      </c>
      <c r="E39" s="10" t="s">
        <v>73</v>
      </c>
      <c r="F39" s="10" t="s">
        <v>73</v>
      </c>
      <c r="G39" s="10" t="s">
        <v>73</v>
      </c>
      <c r="H39" s="10" t="s">
        <v>73</v>
      </c>
      <c r="I39" s="10" t="s">
        <v>73</v>
      </c>
      <c r="J39" s="10" t="s">
        <v>73</v>
      </c>
      <c r="K39" s="10" t="s">
        <v>73</v>
      </c>
      <c r="L39" s="10" t="s">
        <v>73</v>
      </c>
    </row>
    <row r="40" spans="1:12" ht="14.5" x14ac:dyDescent="0.35">
      <c r="A40" s="8" t="s">
        <v>67</v>
      </c>
      <c r="B40" s="11" t="s">
        <v>73</v>
      </c>
      <c r="C40" s="11" t="s">
        <v>73</v>
      </c>
      <c r="D40" s="11" t="s">
        <v>73</v>
      </c>
      <c r="E40" s="11" t="s">
        <v>73</v>
      </c>
      <c r="F40" s="11" t="s">
        <v>73</v>
      </c>
      <c r="G40" s="11" t="s">
        <v>73</v>
      </c>
      <c r="H40" s="11" t="s">
        <v>73</v>
      </c>
      <c r="I40" s="11" t="s">
        <v>73</v>
      </c>
      <c r="J40" s="11" t="s">
        <v>73</v>
      </c>
      <c r="K40" s="11" t="s">
        <v>73</v>
      </c>
      <c r="L40" s="11" t="s">
        <v>73</v>
      </c>
    </row>
    <row r="41" spans="1:12" ht="14.5" x14ac:dyDescent="0.35">
      <c r="A41" s="8" t="s">
        <v>68</v>
      </c>
      <c r="B41" s="10" t="s">
        <v>73</v>
      </c>
      <c r="C41" s="10" t="s">
        <v>73</v>
      </c>
      <c r="D41" s="10" t="s">
        <v>73</v>
      </c>
      <c r="E41" s="10" t="s">
        <v>73</v>
      </c>
      <c r="F41" s="10" t="s">
        <v>73</v>
      </c>
      <c r="G41" s="10" t="s">
        <v>73</v>
      </c>
      <c r="H41" s="10" t="s">
        <v>73</v>
      </c>
      <c r="I41" s="10" t="s">
        <v>73</v>
      </c>
      <c r="J41" s="10" t="s">
        <v>73</v>
      </c>
      <c r="K41" s="10" t="s">
        <v>73</v>
      </c>
      <c r="L41" s="10" t="s">
        <v>73</v>
      </c>
    </row>
    <row r="42" spans="1:12" ht="14.5" x14ac:dyDescent="0.35">
      <c r="A42" s="8" t="s">
        <v>69</v>
      </c>
      <c r="B42" s="11" t="s">
        <v>73</v>
      </c>
      <c r="C42" s="11" t="s">
        <v>73</v>
      </c>
      <c r="D42" s="11" t="s">
        <v>73</v>
      </c>
      <c r="E42" s="11" t="s">
        <v>73</v>
      </c>
      <c r="F42" s="11" t="s">
        <v>73</v>
      </c>
      <c r="G42" s="11" t="s">
        <v>73</v>
      </c>
      <c r="H42" s="11" t="s">
        <v>73</v>
      </c>
      <c r="I42" s="11" t="s">
        <v>73</v>
      </c>
      <c r="J42" s="11" t="s">
        <v>73</v>
      </c>
      <c r="K42" s="11" t="s">
        <v>73</v>
      </c>
      <c r="L42" s="11" t="s">
        <v>73</v>
      </c>
    </row>
    <row r="43" spans="1:12" ht="14.5" x14ac:dyDescent="0.35">
      <c r="A43" s="8" t="s">
        <v>70</v>
      </c>
      <c r="B43" s="10" t="s">
        <v>73</v>
      </c>
      <c r="C43" s="10" t="s">
        <v>73</v>
      </c>
      <c r="D43" s="10" t="s">
        <v>73</v>
      </c>
      <c r="E43" s="10" t="s">
        <v>73</v>
      </c>
      <c r="F43" s="10" t="s">
        <v>73</v>
      </c>
      <c r="G43" s="10" t="s">
        <v>73</v>
      </c>
      <c r="H43" s="10" t="s">
        <v>73</v>
      </c>
      <c r="I43" s="10" t="s">
        <v>73</v>
      </c>
      <c r="J43" s="10" t="s">
        <v>73</v>
      </c>
      <c r="K43" s="10" t="s">
        <v>73</v>
      </c>
      <c r="L43" s="10" t="s">
        <v>73</v>
      </c>
    </row>
    <row r="45" spans="1:12" ht="14.5" x14ac:dyDescent="0.35">
      <c r="A45" s="1" t="s">
        <v>71</v>
      </c>
    </row>
    <row r="46" spans="1:12" ht="14.5" x14ac:dyDescent="0.35">
      <c r="A46" s="1" t="s">
        <v>38</v>
      </c>
      <c r="B46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Summary</vt:lpstr>
      <vt:lpstr>Approach</vt:lpstr>
      <vt:lpstr>Demand</vt:lpstr>
      <vt:lpstr>Production</vt:lpstr>
      <vt:lpstr>Export</vt:lpstr>
      <vt:lpstr>Import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Alexander Meisinger</cp:lastModifiedBy>
  <dcterms:created xsi:type="dcterms:W3CDTF">2025-12-20T13:06:04Z</dcterms:created>
  <dcterms:modified xsi:type="dcterms:W3CDTF">2025-12-20T17:22:18Z</dcterms:modified>
</cp:coreProperties>
</file>